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den\Documents\GitHub\HB_Engineering\"/>
    </mc:Choice>
  </mc:AlternateContent>
  <xr:revisionPtr revIDLastSave="0" documentId="13_ncr:1_{9393E13C-ACFF-4685-B8CA-B8A00D5BD340}" xr6:coauthVersionLast="47" xr6:coauthVersionMax="47" xr10:uidLastSave="{00000000-0000-0000-0000-000000000000}"/>
  <bookViews>
    <workbookView xWindow="-108" yWindow="-108" windowWidth="20376" windowHeight="12096" xr2:uid="{D5BCCF01-CB01-4643-9441-73C2288BAB68}"/>
  </bookViews>
  <sheets>
    <sheet name="Case" sheetId="5" r:id="rId1"/>
    <sheet name="Plate" sheetId="4" r:id="rId2"/>
    <sheet name="Materials" sheetId="2" r:id="rId3"/>
  </sheets>
  <definedNames>
    <definedName name="gam_12">#REF!</definedName>
    <definedName name="Nx">#REF!</definedName>
    <definedName name="Ny">#REF!</definedName>
    <definedName name="p">#REF!</definedName>
    <definedName name="sig_1">#REF!</definedName>
    <definedName name="sig_2">#REF!</definedName>
    <definedName name="solver_adj" localSheetId="0" hidden="1">Case!$F$9,Case!$F$11,Case!$F$13,Case!$F$15</definedName>
    <definedName name="solver_adj" localSheetId="1" hidden="1">Plate!$C$17,Plate!$C$25,Plate!$C$33,Plate!$C$41</definedName>
    <definedName name="solver_cvg" localSheetId="0" hidden="1">0.01</definedName>
    <definedName name="solver_cvg" localSheetId="1" hidden="1">0.0001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Case!$F$9</definedName>
    <definedName name="solver_lhs1" localSheetId="1" hidden="1">Plate!$C$17</definedName>
    <definedName name="solver_lhs10" localSheetId="0" hidden="1">Case!$G$9</definedName>
    <definedName name="solver_lhs11" localSheetId="0" hidden="1">Case!$G$11</definedName>
    <definedName name="solver_lhs12" localSheetId="0" hidden="1">Case!$G$11</definedName>
    <definedName name="solver_lhs13" localSheetId="0" hidden="1">Case!$G$13</definedName>
    <definedName name="solver_lhs14" localSheetId="0" hidden="1">Case!$G$13</definedName>
    <definedName name="solver_lhs15" localSheetId="0" hidden="1">Case!$G$15</definedName>
    <definedName name="solver_lhs16" localSheetId="0" hidden="1">Case!$G$15</definedName>
    <definedName name="solver_lhs2" localSheetId="0" hidden="1">Case!$F$9</definedName>
    <definedName name="solver_lhs2" localSheetId="1" hidden="1">Plate!$C$25</definedName>
    <definedName name="solver_lhs3" localSheetId="0" hidden="1">Case!$F$11</definedName>
    <definedName name="solver_lhs3" localSheetId="1" hidden="1">Plate!$C$33</definedName>
    <definedName name="solver_lhs4" localSheetId="0" hidden="1">Case!$F$11</definedName>
    <definedName name="solver_lhs4" localSheetId="1" hidden="1">Plate!$C$41</definedName>
    <definedName name="solver_lhs5" localSheetId="0" hidden="1">Case!$F$13</definedName>
    <definedName name="solver_lhs5" localSheetId="1" hidden="1">Plate!$F$8</definedName>
    <definedName name="solver_lhs6" localSheetId="0" hidden="1">Case!$F$13</definedName>
    <definedName name="solver_lhs6" localSheetId="1" hidden="1">Plate!$F$8</definedName>
    <definedName name="solver_lhs7" localSheetId="0" hidden="1">Case!$F$15</definedName>
    <definedName name="solver_lhs7" localSheetId="1" hidden="1">Plate!$G$8</definedName>
    <definedName name="solver_lhs8" localSheetId="0" hidden="1">Case!$F$15</definedName>
    <definedName name="solver_lhs8" localSheetId="1" hidden="1">Plate!$G$8</definedName>
    <definedName name="solver_lhs9" localSheetId="0" hidden="1">Case!$G$9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1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16</definedName>
    <definedName name="solver_num" localSheetId="1" hidden="1">8</definedName>
    <definedName name="solver_nwt" localSheetId="0" hidden="1">1</definedName>
    <definedName name="solver_nwt" localSheetId="1" hidden="1">1</definedName>
    <definedName name="solver_opt" localSheetId="0" hidden="1">Case!$G$24</definedName>
    <definedName name="solver_opt" localSheetId="1" hidden="1">Plate!$C$5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1</definedName>
    <definedName name="solver_rel1" localSheetId="1" hidden="1">3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1</definedName>
    <definedName name="solver_rel14" localSheetId="0" hidden="1">3</definedName>
    <definedName name="solver_rel15" localSheetId="0" hidden="1">1</definedName>
    <definedName name="solver_rel16" localSheetId="0" hidden="1">3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3</definedName>
    <definedName name="solver_rel4" localSheetId="0" hidden="1">3</definedName>
    <definedName name="solver_rel4" localSheetId="1" hidden="1">3</definedName>
    <definedName name="solver_rel5" localSheetId="0" hidden="1">1</definedName>
    <definedName name="solver_rel5" localSheetId="1" hidden="1">1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1</definedName>
    <definedName name="solver_rel8" localSheetId="0" hidden="1">3</definedName>
    <definedName name="solver_rel8" localSheetId="1" hidden="1">3</definedName>
    <definedName name="solver_rel9" localSheetId="0" hidden="1">1</definedName>
    <definedName name="solver_rhs1" localSheetId="0" hidden="1">Case!#REF!</definedName>
    <definedName name="solver_rhs1" localSheetId="1" hidden="1">30</definedName>
    <definedName name="solver_rhs10" localSheetId="0" hidden="1">Case!$H$17</definedName>
    <definedName name="solver_rhs11" localSheetId="0" hidden="1">Case!$H$19</definedName>
    <definedName name="solver_rhs12" localSheetId="0" hidden="1">Case!$H$17</definedName>
    <definedName name="solver_rhs13" localSheetId="0" hidden="1">Case!$H$19</definedName>
    <definedName name="solver_rhs14" localSheetId="0" hidden="1">Case!$H$17</definedName>
    <definedName name="solver_rhs15" localSheetId="0" hidden="1">Case!$H$19</definedName>
    <definedName name="solver_rhs16" localSheetId="0" hidden="1">Case!$H$17</definedName>
    <definedName name="solver_rhs2" localSheetId="0" hidden="1">Case!#REF!</definedName>
    <definedName name="solver_rhs2" localSheetId="1" hidden="1">30</definedName>
    <definedName name="solver_rhs3" localSheetId="0" hidden="1">Case!#REF!</definedName>
    <definedName name="solver_rhs3" localSheetId="1" hidden="1">30</definedName>
    <definedName name="solver_rhs4" localSheetId="0" hidden="1">Case!#REF!</definedName>
    <definedName name="solver_rhs4" localSheetId="1" hidden="1">30</definedName>
    <definedName name="solver_rhs5" localSheetId="0" hidden="1">Case!#REF!</definedName>
    <definedName name="solver_rhs5" localSheetId="1" hidden="1">0.25</definedName>
    <definedName name="solver_rhs6" localSheetId="0" hidden="1">Case!#REF!</definedName>
    <definedName name="solver_rhs6" localSheetId="1" hidden="1">0</definedName>
    <definedName name="solver_rhs7" localSheetId="0" hidden="1">Case!#REF!</definedName>
    <definedName name="solver_rhs7" localSheetId="1" hidden="1">5</definedName>
    <definedName name="solver_rhs8" localSheetId="0" hidden="1">Case!#REF!</definedName>
    <definedName name="solver_rhs8" localSheetId="1" hidden="1">0</definedName>
    <definedName name="solver_rhs9" localSheetId="0" hidden="1">Case!$H$19</definedName>
    <definedName name="solver_rlx" localSheetId="0" hidden="1">2</definedName>
    <definedName name="solver_rlx" localSheetId="1" hidden="1">2</definedName>
    <definedName name="solver_rsd" localSheetId="0" hidden="1">1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otTh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1" i="5" l="1"/>
  <c r="K90" i="5"/>
  <c r="L91" i="5"/>
  <c r="L90" i="5"/>
  <c r="L89" i="5"/>
  <c r="L87" i="5"/>
  <c r="L88" i="5"/>
  <c r="G16" i="5"/>
  <c r="F16" i="5"/>
  <c r="G14" i="5"/>
  <c r="F14" i="5"/>
  <c r="G12" i="5"/>
  <c r="F12" i="5"/>
  <c r="G10" i="5"/>
  <c r="F10" i="5"/>
  <c r="Q50" i="5"/>
  <c r="P50" i="5"/>
  <c r="O50" i="5"/>
  <c r="N50" i="5"/>
  <c r="M50" i="5"/>
  <c r="Q46" i="5"/>
  <c r="P46" i="5"/>
  <c r="O46" i="5"/>
  <c r="N46" i="5"/>
  <c r="M46" i="5"/>
  <c r="Q42" i="5"/>
  <c r="P42" i="5"/>
  <c r="O42" i="5"/>
  <c r="N42" i="5"/>
  <c r="M42" i="5"/>
  <c r="Q38" i="5"/>
  <c r="P38" i="5"/>
  <c r="O38" i="5"/>
  <c r="N38" i="5"/>
  <c r="M38" i="5"/>
  <c r="Q34" i="5"/>
  <c r="P34" i="5"/>
  <c r="O34" i="5"/>
  <c r="N34" i="5"/>
  <c r="M34" i="5"/>
  <c r="C5" i="5"/>
  <c r="D5" i="5"/>
  <c r="F52" i="5" l="1"/>
  <c r="F40" i="5"/>
  <c r="F60" i="5"/>
  <c r="C17" i="2"/>
  <c r="C60" i="5"/>
  <c r="C52" i="5"/>
  <c r="U54" i="5" s="1"/>
  <c r="C44" i="5"/>
  <c r="C36" i="5"/>
  <c r="C91" i="5"/>
  <c r="G20" i="5"/>
  <c r="F76" i="5" s="1"/>
  <c r="G18" i="5"/>
  <c r="F68" i="5" s="1"/>
  <c r="F36" i="5"/>
  <c r="F20" i="5"/>
  <c r="C76" i="5" s="1"/>
  <c r="S76" i="5" s="1"/>
  <c r="F18" i="5"/>
  <c r="C68" i="5" s="1"/>
  <c r="U68" i="5" s="1"/>
  <c r="F72" i="5"/>
  <c r="F64" i="5"/>
  <c r="F32" i="5"/>
  <c r="B76" i="5"/>
  <c r="B72" i="5"/>
  <c r="B68" i="5"/>
  <c r="B64" i="5"/>
  <c r="B60" i="5"/>
  <c r="B56" i="5"/>
  <c r="B52" i="5"/>
  <c r="B48" i="5"/>
  <c r="P48" i="5" s="1"/>
  <c r="Y50" i="5" s="1"/>
  <c r="B44" i="5"/>
  <c r="O44" i="5" s="1"/>
  <c r="B40" i="5"/>
  <c r="M40" i="5" s="1"/>
  <c r="B36" i="5"/>
  <c r="P36" i="5" s="1"/>
  <c r="Y38" i="5" s="1"/>
  <c r="B32" i="5"/>
  <c r="N32" i="5" s="1"/>
  <c r="C72" i="5"/>
  <c r="AB72" i="5" s="1"/>
  <c r="AA73" i="5" s="1"/>
  <c r="C64" i="5"/>
  <c r="AC65" i="5" s="1"/>
  <c r="C56" i="5"/>
  <c r="AC56" i="5" s="1"/>
  <c r="C48" i="5"/>
  <c r="AC49" i="5" s="1"/>
  <c r="C40" i="5"/>
  <c r="C32" i="5"/>
  <c r="S32" i="5" s="1"/>
  <c r="AH77" i="5"/>
  <c r="AD77" i="5"/>
  <c r="AH73" i="5"/>
  <c r="AD73" i="5"/>
  <c r="C92" i="5"/>
  <c r="AH69" i="5"/>
  <c r="AD69" i="5"/>
  <c r="AH65" i="5"/>
  <c r="AD65" i="5"/>
  <c r="AH61" i="5"/>
  <c r="AD61" i="5"/>
  <c r="AH57" i="5"/>
  <c r="AD57" i="5"/>
  <c r="AH53" i="5"/>
  <c r="AD53" i="5"/>
  <c r="AH49" i="5"/>
  <c r="AD49" i="5"/>
  <c r="AH45" i="5"/>
  <c r="AD45" i="5"/>
  <c r="AH41" i="5"/>
  <c r="AD41" i="5"/>
  <c r="AH37" i="5"/>
  <c r="AD37" i="5"/>
  <c r="AH33" i="5"/>
  <c r="AD33" i="5"/>
  <c r="B13" i="4"/>
  <c r="C21" i="4"/>
  <c r="Q21" i="4" s="1"/>
  <c r="G13" i="4"/>
  <c r="C13" i="4"/>
  <c r="F45" i="4"/>
  <c r="C45" i="4"/>
  <c r="W47" i="4" s="1"/>
  <c r="X47" i="4" s="1"/>
  <c r="C68" i="4"/>
  <c r="AD54" i="4"/>
  <c r="Z54" i="4"/>
  <c r="L53" i="4"/>
  <c r="U55" i="4" s="1"/>
  <c r="K53" i="4"/>
  <c r="J53" i="4"/>
  <c r="I53" i="4"/>
  <c r="E53" i="4"/>
  <c r="G53" i="4" s="1"/>
  <c r="D53" i="4"/>
  <c r="C53" i="4"/>
  <c r="Y55" i="4" s="1"/>
  <c r="Y51" i="4"/>
  <c r="W51" i="4"/>
  <c r="X51" i="4" s="1"/>
  <c r="Q51" i="4"/>
  <c r="P51" i="4"/>
  <c r="O51" i="4"/>
  <c r="AD50" i="4"/>
  <c r="Z50" i="4"/>
  <c r="Y50" i="4"/>
  <c r="Q50" i="4"/>
  <c r="P50" i="4"/>
  <c r="O50" i="4"/>
  <c r="Y49" i="4"/>
  <c r="X49" i="4"/>
  <c r="W50" i="4" s="1"/>
  <c r="W49" i="4"/>
  <c r="X50" i="4" s="1"/>
  <c r="Q49" i="4"/>
  <c r="P49" i="4"/>
  <c r="O49" i="4"/>
  <c r="L49" i="4"/>
  <c r="U51" i="4" s="1"/>
  <c r="K49" i="4"/>
  <c r="J49" i="4"/>
  <c r="I49" i="4"/>
  <c r="E49" i="4"/>
  <c r="G49" i="4" s="1"/>
  <c r="D49" i="4"/>
  <c r="C69" i="4"/>
  <c r="F29" i="4"/>
  <c r="F37" i="4"/>
  <c r="L45" i="4"/>
  <c r="U47" i="4" s="1"/>
  <c r="K45" i="4"/>
  <c r="J45" i="4"/>
  <c r="I45" i="4"/>
  <c r="L41" i="4"/>
  <c r="U43" i="4" s="1"/>
  <c r="K41" i="4"/>
  <c r="J41" i="4"/>
  <c r="I41" i="4"/>
  <c r="L37" i="4"/>
  <c r="U39" i="4" s="1"/>
  <c r="K37" i="4"/>
  <c r="J37" i="4"/>
  <c r="I37" i="4"/>
  <c r="L33" i="4"/>
  <c r="U35" i="4" s="1"/>
  <c r="K33" i="4"/>
  <c r="J33" i="4"/>
  <c r="I33" i="4"/>
  <c r="L29" i="4"/>
  <c r="U31" i="4" s="1"/>
  <c r="K29" i="4"/>
  <c r="J29" i="4"/>
  <c r="I29" i="4"/>
  <c r="L25" i="4"/>
  <c r="U27" i="4" s="1"/>
  <c r="K25" i="4"/>
  <c r="J25" i="4"/>
  <c r="I25" i="4"/>
  <c r="L21" i="4"/>
  <c r="U23" i="4" s="1"/>
  <c r="K21" i="4"/>
  <c r="J21" i="4"/>
  <c r="I21" i="4"/>
  <c r="L17" i="4"/>
  <c r="U19" i="4" s="1"/>
  <c r="K17" i="4"/>
  <c r="J17" i="4"/>
  <c r="I17" i="4"/>
  <c r="E45" i="4"/>
  <c r="D45" i="4"/>
  <c r="E41" i="4"/>
  <c r="G41" i="4" s="1"/>
  <c r="D41" i="4"/>
  <c r="E37" i="4"/>
  <c r="D37" i="4"/>
  <c r="E33" i="4"/>
  <c r="G33" i="4" s="1"/>
  <c r="D33" i="4"/>
  <c r="E29" i="4"/>
  <c r="D29" i="4"/>
  <c r="E25" i="4"/>
  <c r="G25" i="4" s="1"/>
  <c r="D25" i="4"/>
  <c r="E21" i="4"/>
  <c r="D21" i="4"/>
  <c r="E17" i="4"/>
  <c r="G17" i="4" s="1"/>
  <c r="D17" i="4"/>
  <c r="C70" i="4"/>
  <c r="AD46" i="4"/>
  <c r="Z46" i="4"/>
  <c r="Y43" i="4"/>
  <c r="W43" i="4"/>
  <c r="X43" i="4" s="1"/>
  <c r="Q43" i="4"/>
  <c r="P43" i="4"/>
  <c r="O43" i="4"/>
  <c r="AD42" i="4"/>
  <c r="Z42" i="4"/>
  <c r="Y42" i="4"/>
  <c r="Q42" i="4"/>
  <c r="P42" i="4"/>
  <c r="O42" i="4"/>
  <c r="Y41" i="4"/>
  <c r="X41" i="4"/>
  <c r="W42" i="4" s="1"/>
  <c r="W41" i="4"/>
  <c r="X42" i="4" s="1"/>
  <c r="Q41" i="4"/>
  <c r="P41" i="4"/>
  <c r="O41" i="4"/>
  <c r="AD38" i="4"/>
  <c r="Z38" i="4"/>
  <c r="C37" i="4"/>
  <c r="O39" i="4" s="1"/>
  <c r="Y35" i="4"/>
  <c r="W35" i="4"/>
  <c r="X35" i="4" s="1"/>
  <c r="Q35" i="4"/>
  <c r="P35" i="4"/>
  <c r="O35" i="4"/>
  <c r="AD34" i="4"/>
  <c r="Z34" i="4"/>
  <c r="Y34" i="4"/>
  <c r="Q34" i="4"/>
  <c r="P34" i="4"/>
  <c r="O34" i="4"/>
  <c r="Y33" i="4"/>
  <c r="X33" i="4"/>
  <c r="W34" i="4" s="1"/>
  <c r="W33" i="4"/>
  <c r="X34" i="4" s="1"/>
  <c r="Q33" i="4"/>
  <c r="P33" i="4"/>
  <c r="O33" i="4"/>
  <c r="C29" i="4"/>
  <c r="W29" i="4" s="1"/>
  <c r="X30" i="4" s="1"/>
  <c r="AD30" i="4"/>
  <c r="Z30" i="4"/>
  <c r="Y27" i="4"/>
  <c r="W27" i="4"/>
  <c r="X27" i="4" s="1"/>
  <c r="Q27" i="4"/>
  <c r="P27" i="4"/>
  <c r="O27" i="4"/>
  <c r="AD26" i="4"/>
  <c r="Z26" i="4"/>
  <c r="Y26" i="4"/>
  <c r="Q26" i="4"/>
  <c r="P26" i="4"/>
  <c r="O26" i="4"/>
  <c r="Y25" i="4"/>
  <c r="X25" i="4"/>
  <c r="W26" i="4" s="1"/>
  <c r="W25" i="4"/>
  <c r="X26" i="4" s="1"/>
  <c r="Q25" i="4"/>
  <c r="P25" i="4"/>
  <c r="O25" i="4"/>
  <c r="AD22" i="4"/>
  <c r="Z22" i="4"/>
  <c r="AD18" i="4"/>
  <c r="Z18" i="4"/>
  <c r="Y17" i="4"/>
  <c r="Y19" i="4"/>
  <c r="Y18" i="4"/>
  <c r="W19" i="4"/>
  <c r="X19" i="4" s="1"/>
  <c r="X17" i="4"/>
  <c r="W18" i="4" s="1"/>
  <c r="W17" i="4"/>
  <c r="X18" i="4" s="1"/>
  <c r="Q19" i="4"/>
  <c r="P19" i="4"/>
  <c r="O19" i="4"/>
  <c r="Q18" i="4"/>
  <c r="O18" i="4"/>
  <c r="P18" i="4"/>
  <c r="Q17" i="4"/>
  <c r="P17" i="4"/>
  <c r="O17" i="4"/>
  <c r="E76" i="5" l="1"/>
  <c r="Q78" i="5"/>
  <c r="O78" i="5"/>
  <c r="M78" i="5"/>
  <c r="P78" i="5"/>
  <c r="N78" i="5"/>
  <c r="P72" i="5"/>
  <c r="Y74" i="5" s="1"/>
  <c r="O74" i="5"/>
  <c r="M74" i="5"/>
  <c r="P74" i="5"/>
  <c r="N74" i="5"/>
  <c r="Q74" i="5"/>
  <c r="O68" i="5"/>
  <c r="Q70" i="5"/>
  <c r="O70" i="5"/>
  <c r="P70" i="5"/>
  <c r="N70" i="5"/>
  <c r="M70" i="5"/>
  <c r="D64" i="5"/>
  <c r="Q66" i="5"/>
  <c r="M66" i="5"/>
  <c r="P66" i="5"/>
  <c r="N66" i="5"/>
  <c r="O66" i="5"/>
  <c r="N52" i="5"/>
  <c r="Q54" i="5"/>
  <c r="N54" i="5"/>
  <c r="P54" i="5"/>
  <c r="M54" i="5"/>
  <c r="O54" i="5"/>
  <c r="O56" i="5"/>
  <c r="Q58" i="5"/>
  <c r="N58" i="5"/>
  <c r="P58" i="5"/>
  <c r="O58" i="5"/>
  <c r="M58" i="5"/>
  <c r="O60" i="5"/>
  <c r="Q62" i="5"/>
  <c r="P62" i="5"/>
  <c r="N62" i="5"/>
  <c r="O62" i="5"/>
  <c r="M62" i="5"/>
  <c r="P44" i="5"/>
  <c r="Y46" i="5" s="1"/>
  <c r="D52" i="5"/>
  <c r="D48" i="5"/>
  <c r="E48" i="5"/>
  <c r="M48" i="5"/>
  <c r="D36" i="5"/>
  <c r="M36" i="5"/>
  <c r="M52" i="5"/>
  <c r="O52" i="5"/>
  <c r="P52" i="5"/>
  <c r="Y54" i="5" s="1"/>
  <c r="N36" i="5"/>
  <c r="E36" i="5"/>
  <c r="G36" i="5" s="1"/>
  <c r="E52" i="5"/>
  <c r="G52" i="5" s="1"/>
  <c r="D44" i="5"/>
  <c r="O36" i="5"/>
  <c r="E44" i="5"/>
  <c r="M44" i="5"/>
  <c r="N44" i="5"/>
  <c r="D32" i="5"/>
  <c r="O76" i="5"/>
  <c r="N76" i="5"/>
  <c r="M76" i="5"/>
  <c r="D60" i="5"/>
  <c r="F44" i="5"/>
  <c r="F56" i="5"/>
  <c r="F48" i="5"/>
  <c r="G76" i="5"/>
  <c r="P76" i="5"/>
  <c r="Y78" i="5" s="1"/>
  <c r="E60" i="5"/>
  <c r="G60" i="5" s="1"/>
  <c r="N60" i="5"/>
  <c r="M60" i="5"/>
  <c r="P56" i="5"/>
  <c r="Y58" i="5" s="1"/>
  <c r="P60" i="5"/>
  <c r="Y62" i="5" s="1"/>
  <c r="D56" i="5"/>
  <c r="M56" i="5"/>
  <c r="N56" i="5"/>
  <c r="E56" i="5"/>
  <c r="E68" i="5"/>
  <c r="G68" i="5" s="1"/>
  <c r="D68" i="5"/>
  <c r="P68" i="5"/>
  <c r="Y70" i="5" s="1"/>
  <c r="M68" i="5"/>
  <c r="N68" i="5"/>
  <c r="D72" i="5"/>
  <c r="M72" i="5"/>
  <c r="E72" i="5"/>
  <c r="G72" i="5" s="1"/>
  <c r="D76" i="5"/>
  <c r="N72" i="5"/>
  <c r="O72" i="5"/>
  <c r="M64" i="5"/>
  <c r="E64" i="5"/>
  <c r="G64" i="5" s="1"/>
  <c r="N64" i="5"/>
  <c r="O64" i="5"/>
  <c r="P64" i="5"/>
  <c r="Y66" i="5" s="1"/>
  <c r="AA50" i="5"/>
  <c r="AB50" i="5" s="1"/>
  <c r="AB48" i="5"/>
  <c r="AA49" i="5" s="1"/>
  <c r="S49" i="5"/>
  <c r="AA48" i="5"/>
  <c r="T48" i="5"/>
  <c r="S48" i="5"/>
  <c r="U48" i="5"/>
  <c r="S50" i="5"/>
  <c r="AC50" i="5"/>
  <c r="T50" i="5"/>
  <c r="U50" i="5"/>
  <c r="S33" i="5"/>
  <c r="AB32" i="5"/>
  <c r="AA33" i="5" s="1"/>
  <c r="AC33" i="5"/>
  <c r="M32" i="5"/>
  <c r="O32" i="5"/>
  <c r="N48" i="5"/>
  <c r="P32" i="5"/>
  <c r="Y34" i="5" s="1"/>
  <c r="O48" i="5"/>
  <c r="T32" i="5"/>
  <c r="U32" i="5"/>
  <c r="AA32" i="5"/>
  <c r="E32" i="5"/>
  <c r="G32" i="5" s="1"/>
  <c r="AC32" i="5"/>
  <c r="AC77" i="5"/>
  <c r="AC78" i="5"/>
  <c r="S73" i="5"/>
  <c r="T74" i="5"/>
  <c r="AC72" i="5"/>
  <c r="AC73" i="5"/>
  <c r="U74" i="5"/>
  <c r="T73" i="5"/>
  <c r="AA74" i="5"/>
  <c r="AB74" i="5" s="1"/>
  <c r="T72" i="5"/>
  <c r="U73" i="5"/>
  <c r="S74" i="5"/>
  <c r="U72" i="5"/>
  <c r="S72" i="5"/>
  <c r="AA72" i="5"/>
  <c r="AC74" i="5"/>
  <c r="U66" i="5"/>
  <c r="S64" i="5"/>
  <c r="U64" i="5"/>
  <c r="AB64" i="5"/>
  <c r="AA65" i="5" s="1"/>
  <c r="AC64" i="5"/>
  <c r="AC66" i="5"/>
  <c r="AA64" i="5"/>
  <c r="S65" i="5"/>
  <c r="T65" i="5"/>
  <c r="S66" i="5"/>
  <c r="AA66" i="5"/>
  <c r="AB66" i="5" s="1"/>
  <c r="U65" i="5"/>
  <c r="T66" i="5"/>
  <c r="T64" i="5"/>
  <c r="AC48" i="5"/>
  <c r="T49" i="5"/>
  <c r="U49" i="5"/>
  <c r="U34" i="5"/>
  <c r="S34" i="5"/>
  <c r="AC34" i="5"/>
  <c r="T34" i="5"/>
  <c r="AA34" i="5"/>
  <c r="AB34" i="5" s="1"/>
  <c r="N40" i="5"/>
  <c r="D40" i="5"/>
  <c r="O40" i="5"/>
  <c r="E40" i="5"/>
  <c r="G40" i="5" s="1"/>
  <c r="P40" i="5"/>
  <c r="Y42" i="5" s="1"/>
  <c r="T76" i="5"/>
  <c r="U76" i="5"/>
  <c r="AA76" i="5"/>
  <c r="T77" i="5"/>
  <c r="U77" i="5"/>
  <c r="U38" i="5"/>
  <c r="T33" i="5"/>
  <c r="U33" i="5"/>
  <c r="U70" i="5"/>
  <c r="U78" i="5"/>
  <c r="AA78" i="5"/>
  <c r="AB78" i="5" s="1"/>
  <c r="AB76" i="5"/>
  <c r="AA77" i="5" s="1"/>
  <c r="S78" i="5"/>
  <c r="AC76" i="5"/>
  <c r="T78" i="5"/>
  <c r="S77" i="5"/>
  <c r="AB40" i="5"/>
  <c r="AA41" i="5" s="1"/>
  <c r="S41" i="5"/>
  <c r="AC41" i="5"/>
  <c r="S42" i="5"/>
  <c r="T42" i="5"/>
  <c r="U42" i="5"/>
  <c r="AA42" i="5"/>
  <c r="AB42" i="5" s="1"/>
  <c r="AC57" i="5"/>
  <c r="T58" i="5"/>
  <c r="S40" i="5"/>
  <c r="AC42" i="5"/>
  <c r="U40" i="5"/>
  <c r="AC40" i="5"/>
  <c r="S58" i="5"/>
  <c r="T40" i="5"/>
  <c r="U58" i="5"/>
  <c r="AC45" i="5"/>
  <c r="AA40" i="5"/>
  <c r="T41" i="5"/>
  <c r="U41" i="5"/>
  <c r="AA58" i="5"/>
  <c r="AB58" i="5" s="1"/>
  <c r="AC58" i="5"/>
  <c r="S62" i="5"/>
  <c r="S56" i="5"/>
  <c r="U57" i="5"/>
  <c r="S57" i="5"/>
  <c r="T57" i="5"/>
  <c r="AA56" i="5"/>
  <c r="T56" i="5"/>
  <c r="U56" i="5"/>
  <c r="AB56" i="5"/>
  <c r="AA57" i="5" s="1"/>
  <c r="T69" i="5"/>
  <c r="U69" i="5"/>
  <c r="AC69" i="5"/>
  <c r="AA70" i="5"/>
  <c r="AB70" i="5" s="1"/>
  <c r="AC70" i="5"/>
  <c r="S68" i="5"/>
  <c r="T68" i="5"/>
  <c r="AA68" i="5"/>
  <c r="S69" i="5"/>
  <c r="AC53" i="5"/>
  <c r="S37" i="5"/>
  <c r="T37" i="5"/>
  <c r="U37" i="5"/>
  <c r="AC37" i="5"/>
  <c r="AA38" i="5"/>
  <c r="AB38" i="5" s="1"/>
  <c r="AC38" i="5"/>
  <c r="S36" i="5"/>
  <c r="T36" i="5"/>
  <c r="U36" i="5"/>
  <c r="AA36" i="5"/>
  <c r="AA54" i="5"/>
  <c r="AB54" i="5" s="1"/>
  <c r="AC54" i="5"/>
  <c r="S54" i="5"/>
  <c r="AC52" i="5"/>
  <c r="T53" i="5"/>
  <c r="AB68" i="5"/>
  <c r="AA69" i="5" s="1"/>
  <c r="S70" i="5"/>
  <c r="AB36" i="5"/>
  <c r="AA37" i="5" s="1"/>
  <c r="S38" i="5"/>
  <c r="U53" i="5"/>
  <c r="AC68" i="5"/>
  <c r="T70" i="5"/>
  <c r="S53" i="5"/>
  <c r="AC36" i="5"/>
  <c r="T38" i="5"/>
  <c r="AB52" i="5"/>
  <c r="AA53" i="5" s="1"/>
  <c r="S52" i="5"/>
  <c r="T52" i="5"/>
  <c r="U52" i="5"/>
  <c r="AA52" i="5"/>
  <c r="T54" i="5"/>
  <c r="G45" i="4"/>
  <c r="Y30" i="4"/>
  <c r="G21" i="4"/>
  <c r="G37" i="4"/>
  <c r="O53" i="4"/>
  <c r="P53" i="4"/>
  <c r="P54" i="4"/>
  <c r="Q54" i="4"/>
  <c r="Q55" i="4"/>
  <c r="M53" i="4"/>
  <c r="T53" i="4" s="1"/>
  <c r="Q53" i="4"/>
  <c r="Y54" i="4"/>
  <c r="W53" i="4"/>
  <c r="X54" i="4" s="1"/>
  <c r="X53" i="4"/>
  <c r="W54" i="4" s="1"/>
  <c r="O55" i="4"/>
  <c r="Y53" i="4"/>
  <c r="P55" i="4"/>
  <c r="M49" i="4"/>
  <c r="T50" i="4" s="1"/>
  <c r="W55" i="4"/>
  <c r="X55" i="4" s="1"/>
  <c r="O54" i="4"/>
  <c r="G29" i="4"/>
  <c r="Q30" i="4"/>
  <c r="O23" i="4"/>
  <c r="P46" i="4"/>
  <c r="Q46" i="4"/>
  <c r="Y46" i="4"/>
  <c r="M25" i="4"/>
  <c r="S26" i="4" s="1"/>
  <c r="B60" i="4"/>
  <c r="B5" i="4" s="1"/>
  <c r="X21" i="4"/>
  <c r="W22" i="4" s="1"/>
  <c r="Y31" i="4"/>
  <c r="P22" i="4"/>
  <c r="P39" i="4"/>
  <c r="O45" i="4"/>
  <c r="Y21" i="4"/>
  <c r="Q22" i="4"/>
  <c r="P45" i="4"/>
  <c r="Y22" i="4"/>
  <c r="Q45" i="4"/>
  <c r="X29" i="4"/>
  <c r="W30" i="4" s="1"/>
  <c r="M41" i="4"/>
  <c r="S41" i="4" s="1"/>
  <c r="W45" i="4"/>
  <c r="X46" i="4" s="1"/>
  <c r="O22" i="4"/>
  <c r="P30" i="4"/>
  <c r="O46" i="4"/>
  <c r="Y47" i="4"/>
  <c r="W21" i="4"/>
  <c r="X22" i="4" s="1"/>
  <c r="W39" i="4"/>
  <c r="X39" i="4" s="1"/>
  <c r="M45" i="4"/>
  <c r="T45" i="4" s="1"/>
  <c r="Q39" i="4"/>
  <c r="M33" i="4"/>
  <c r="T33" i="4" s="1"/>
  <c r="O38" i="4"/>
  <c r="Y39" i="4"/>
  <c r="P38" i="4"/>
  <c r="Q38" i="4"/>
  <c r="M37" i="4"/>
  <c r="T37" i="4" s="1"/>
  <c r="Y37" i="4"/>
  <c r="O37" i="4"/>
  <c r="P37" i="4"/>
  <c r="X45" i="4"/>
  <c r="W46" i="4" s="1"/>
  <c r="O47" i="4"/>
  <c r="Q37" i="4"/>
  <c r="Y45" i="4"/>
  <c r="P47" i="4"/>
  <c r="Y38" i="4"/>
  <c r="Q47" i="4"/>
  <c r="W37" i="4"/>
  <c r="X38" i="4" s="1"/>
  <c r="X37" i="4"/>
  <c r="W38" i="4" s="1"/>
  <c r="O21" i="4"/>
  <c r="O29" i="4"/>
  <c r="Q29" i="4"/>
  <c r="P29" i="4"/>
  <c r="M29" i="4"/>
  <c r="T29" i="4" s="1"/>
  <c r="O31" i="4"/>
  <c r="Y29" i="4"/>
  <c r="P31" i="4"/>
  <c r="Q31" i="4"/>
  <c r="W31" i="4"/>
  <c r="X31" i="4" s="1"/>
  <c r="O30" i="4"/>
  <c r="Q23" i="4"/>
  <c r="P23" i="4"/>
  <c r="W23" i="4"/>
  <c r="X23" i="4" s="1"/>
  <c r="Y23" i="4"/>
  <c r="P21" i="4"/>
  <c r="M21" i="4"/>
  <c r="M17" i="4"/>
  <c r="T17" i="4" s="1"/>
  <c r="G44" i="5" l="1"/>
  <c r="G48" i="5"/>
  <c r="Q52" i="5"/>
  <c r="X53" i="5" s="1"/>
  <c r="Q44" i="5"/>
  <c r="W45" i="5" s="1"/>
  <c r="Q36" i="5"/>
  <c r="X36" i="5" s="1"/>
  <c r="Q76" i="5"/>
  <c r="X76" i="5" s="1"/>
  <c r="AB37" i="5"/>
  <c r="AB73" i="5"/>
  <c r="AB77" i="5"/>
  <c r="AB33" i="5"/>
  <c r="AB49" i="5"/>
  <c r="AB57" i="5"/>
  <c r="AB53" i="5"/>
  <c r="AB69" i="5"/>
  <c r="AB65" i="5"/>
  <c r="Q56" i="5"/>
  <c r="X56" i="5" s="1"/>
  <c r="AB41" i="5"/>
  <c r="G56" i="5"/>
  <c r="Q60" i="5"/>
  <c r="X60" i="5" s="1"/>
  <c r="Q48" i="5"/>
  <c r="X48" i="5" s="1"/>
  <c r="Q32" i="5"/>
  <c r="W33" i="5" s="1"/>
  <c r="Q40" i="5"/>
  <c r="X40" i="5" s="1"/>
  <c r="Q72" i="5"/>
  <c r="W73" i="5" s="1"/>
  <c r="Q68" i="5"/>
  <c r="X68" i="5" s="1"/>
  <c r="Q64" i="5"/>
  <c r="W65" i="5" s="1"/>
  <c r="X77" i="5"/>
  <c r="W76" i="5"/>
  <c r="W77" i="5"/>
  <c r="U44" i="5"/>
  <c r="AC44" i="5"/>
  <c r="U45" i="5"/>
  <c r="S46" i="5"/>
  <c r="T44" i="5"/>
  <c r="AB44" i="5"/>
  <c r="AA45" i="5" s="1"/>
  <c r="S44" i="5"/>
  <c r="AA46" i="5"/>
  <c r="AB46" i="5" s="1"/>
  <c r="T46" i="5"/>
  <c r="AC46" i="5"/>
  <c r="S45" i="5"/>
  <c r="T60" i="5"/>
  <c r="U46" i="5"/>
  <c r="T45" i="5"/>
  <c r="AA44" i="5"/>
  <c r="AC62" i="5"/>
  <c r="AC61" i="5"/>
  <c r="S61" i="5"/>
  <c r="S60" i="5"/>
  <c r="B83" i="5"/>
  <c r="B24" i="5" s="1"/>
  <c r="T61" i="5"/>
  <c r="U60" i="5"/>
  <c r="U61" i="5"/>
  <c r="AA62" i="5"/>
  <c r="AB62" i="5" s="1"/>
  <c r="U62" i="5"/>
  <c r="AB60" i="5"/>
  <c r="AA61" i="5" s="1"/>
  <c r="T62" i="5"/>
  <c r="AA60" i="5"/>
  <c r="AC60" i="5"/>
  <c r="X37" i="5"/>
  <c r="W36" i="5"/>
  <c r="W53" i="5"/>
  <c r="W52" i="5"/>
  <c r="X52" i="5"/>
  <c r="W37" i="5"/>
  <c r="C60" i="4"/>
  <c r="C5" i="4" s="1"/>
  <c r="B8" i="4" s="1"/>
  <c r="S50" i="4"/>
  <c r="S54" i="4"/>
  <c r="S53" i="4"/>
  <c r="S49" i="4"/>
  <c r="T49" i="4"/>
  <c r="T54" i="4"/>
  <c r="S25" i="4"/>
  <c r="T25" i="4"/>
  <c r="T26" i="4"/>
  <c r="AA25" i="4" s="1" a="1"/>
  <c r="AA25" i="4" s="1"/>
  <c r="AE25" i="4" s="1" a="1"/>
  <c r="AE25" i="4" s="1"/>
  <c r="T41" i="4"/>
  <c r="T42" i="4"/>
  <c r="S42" i="4"/>
  <c r="S46" i="4"/>
  <c r="T34" i="4"/>
  <c r="S33" i="4"/>
  <c r="S45" i="4"/>
  <c r="S38" i="4"/>
  <c r="T38" i="4"/>
  <c r="S34" i="4"/>
  <c r="T46" i="4"/>
  <c r="S37" i="4"/>
  <c r="S30" i="4"/>
  <c r="T30" i="4"/>
  <c r="S29" i="4"/>
  <c r="T21" i="4"/>
  <c r="T22" i="4"/>
  <c r="S22" i="4"/>
  <c r="S21" i="4"/>
  <c r="S18" i="4"/>
  <c r="S17" i="4"/>
  <c r="T18" i="4"/>
  <c r="X44" i="5" l="1"/>
  <c r="X45" i="5"/>
  <c r="W44" i="5"/>
  <c r="W56" i="5"/>
  <c r="W57" i="5"/>
  <c r="X57" i="5"/>
  <c r="X61" i="5"/>
  <c r="W49" i="5"/>
  <c r="X32" i="5"/>
  <c r="X33" i="5"/>
  <c r="W41" i="5"/>
  <c r="W40" i="5"/>
  <c r="W32" i="5"/>
  <c r="X41" i="5"/>
  <c r="X49" i="5"/>
  <c r="AB61" i="5"/>
  <c r="AB45" i="5"/>
  <c r="W60" i="5"/>
  <c r="W48" i="5"/>
  <c r="W72" i="5"/>
  <c r="X73" i="5"/>
  <c r="W61" i="5"/>
  <c r="X72" i="5"/>
  <c r="AE76" i="5" a="1"/>
  <c r="AE76" i="5" s="1"/>
  <c r="AI76" i="5" s="1" a="1"/>
  <c r="AI76" i="5" s="1"/>
  <c r="X64" i="5"/>
  <c r="W64" i="5"/>
  <c r="X65" i="5"/>
  <c r="W69" i="5"/>
  <c r="W68" i="5"/>
  <c r="X69" i="5"/>
  <c r="AE52" i="5" a="1"/>
  <c r="AE52" i="5" s="1"/>
  <c r="AI52" i="5" s="1" a="1"/>
  <c r="AI52" i="5" s="1"/>
  <c r="AE56" i="5" a="1"/>
  <c r="AE56" i="5" s="1"/>
  <c r="AI56" i="5" s="1" a="1"/>
  <c r="AI56" i="5" s="1"/>
  <c r="AE36" i="5" a="1"/>
  <c r="AE36" i="5" s="1"/>
  <c r="AI36" i="5" s="1" a="1"/>
  <c r="AI36" i="5" s="1"/>
  <c r="C8" i="4"/>
  <c r="AA53" i="4" a="1"/>
  <c r="AA53" i="4" s="1"/>
  <c r="AE53" i="4" s="1" a="1"/>
  <c r="AE53" i="4" s="1"/>
  <c r="AA21" i="4" a="1"/>
  <c r="AA21" i="4" s="1"/>
  <c r="AE21" i="4" s="1" a="1"/>
  <c r="AE21" i="4" s="1"/>
  <c r="AA49" i="4" a="1"/>
  <c r="AA49" i="4" s="1"/>
  <c r="AE49" i="4" s="1" a="1"/>
  <c r="AE49" i="4" s="1"/>
  <c r="AA41" i="4" a="1"/>
  <c r="AA41" i="4" s="1"/>
  <c r="AE41" i="4" s="1" a="1"/>
  <c r="AE41" i="4" s="1"/>
  <c r="AA37" i="4" a="1"/>
  <c r="AA37" i="4" s="1"/>
  <c r="AE37" i="4" s="1" a="1"/>
  <c r="AE37" i="4" s="1"/>
  <c r="AA45" i="4" a="1"/>
  <c r="AA45" i="4" s="1"/>
  <c r="AE45" i="4" s="1" a="1"/>
  <c r="AE45" i="4" s="1"/>
  <c r="AA29" i="4" a="1"/>
  <c r="AA29" i="4" s="1"/>
  <c r="AE29" i="4" s="1" a="1"/>
  <c r="AE29" i="4" s="1"/>
  <c r="AA17" i="4" a="1"/>
  <c r="AA17" i="4" s="1"/>
  <c r="AE17" i="4" s="1" a="1"/>
  <c r="AA33" i="4" a="1"/>
  <c r="AA33" i="4" s="1"/>
  <c r="AE33" i="4" s="1" a="1"/>
  <c r="AE33" i="4" s="1"/>
  <c r="AE64" i="5" l="1" a="1"/>
  <c r="AE64" i="5" s="1"/>
  <c r="AI64" i="5" s="1" a="1"/>
  <c r="AI64" i="5" s="1"/>
  <c r="AE68" i="5" a="1"/>
  <c r="AE68" i="5" s="1"/>
  <c r="AI68" i="5" s="1" a="1"/>
  <c r="AI68" i="5" s="1"/>
  <c r="AE44" i="5" a="1"/>
  <c r="AE44" i="5" s="1"/>
  <c r="AI44" i="5" s="1" a="1"/>
  <c r="AI44" i="5" s="1"/>
  <c r="AE40" i="5" a="1"/>
  <c r="AE40" i="5" s="1"/>
  <c r="AI40" i="5" s="1" a="1"/>
  <c r="AI40" i="5" s="1"/>
  <c r="AE48" i="5" a="1"/>
  <c r="AE48" i="5" s="1"/>
  <c r="AI48" i="5" s="1" a="1"/>
  <c r="AI48" i="5" s="1"/>
  <c r="AE32" i="5" a="1"/>
  <c r="AE32" i="5" s="1"/>
  <c r="AI32" i="5" s="1" a="1"/>
  <c r="AI32" i="5" s="1"/>
  <c r="AE60" i="5" a="1"/>
  <c r="AE60" i="5" s="1"/>
  <c r="AI60" i="5" s="1" a="1"/>
  <c r="AI60" i="5" s="1"/>
  <c r="AE72" i="5" a="1"/>
  <c r="AE72" i="5" s="1"/>
  <c r="AI72" i="5" s="1" a="1"/>
  <c r="AI72" i="5" s="1"/>
  <c r="B64" i="4"/>
  <c r="C64" i="4"/>
  <c r="D64" i="4"/>
  <c r="C65" i="4"/>
  <c r="B65" i="4"/>
  <c r="D65" i="4"/>
  <c r="C63" i="4"/>
  <c r="D63" i="4"/>
  <c r="AE17" i="4"/>
  <c r="B63" i="4" s="1"/>
  <c r="B86" i="5" l="1"/>
  <c r="C86" i="5"/>
  <c r="D86" i="5"/>
  <c r="C87" i="5"/>
  <c r="D88" i="5"/>
  <c r="B88" i="5"/>
  <c r="C88" i="5"/>
  <c r="D87" i="5"/>
  <c r="B87" i="5"/>
  <c r="E63" i="4" a="1"/>
  <c r="E60" i="4" s="1"/>
  <c r="E5" i="4" s="1"/>
  <c r="E86" i="5" l="1" a="1"/>
  <c r="E86" i="5" s="1"/>
  <c r="F91" i="5" s="1" a="1"/>
  <c r="E63" i="4"/>
  <c r="F60" i="4" s="1"/>
  <c r="F5" i="4" s="1"/>
  <c r="G60" i="4"/>
  <c r="G5" i="4" s="1"/>
  <c r="F83" i="5" l="1"/>
  <c r="F24" i="5" s="1"/>
  <c r="F91" i="5"/>
  <c r="E27" i="5"/>
  <c r="G27" i="5" s="1"/>
  <c r="G29" i="5" s="1"/>
  <c r="D60" i="4"/>
  <c r="D5" i="4" s="1"/>
  <c r="F68" i="4" a="1"/>
  <c r="D27" i="5" l="1"/>
  <c r="F27" i="5" s="1"/>
  <c r="F29" i="5" s="1"/>
  <c r="AM64" i="5" a="1"/>
  <c r="AM36" i="5" a="1"/>
  <c r="AM72" i="5" a="1"/>
  <c r="AM68" i="5" a="1"/>
  <c r="AM40" i="5" a="1"/>
  <c r="AM52" i="5" a="1"/>
  <c r="AM76" i="5" a="1"/>
  <c r="AM56" i="5" a="1"/>
  <c r="AM32" i="5" a="1"/>
  <c r="AM48" i="5" a="1"/>
  <c r="AM60" i="5" a="1"/>
  <c r="AM44" i="5" a="1"/>
  <c r="F68" i="4"/>
  <c r="D8" i="4" s="1"/>
  <c r="F8" i="4" s="1"/>
  <c r="E8" i="4"/>
  <c r="G8" i="4" s="1"/>
  <c r="AM76" i="5" l="1"/>
  <c r="K78" i="5"/>
  <c r="J78" i="5"/>
  <c r="J20" i="5" s="1"/>
  <c r="AM48" i="5"/>
  <c r="K50" i="5"/>
  <c r="J50" i="5"/>
  <c r="J13" i="5" s="1"/>
  <c r="AM52" i="5"/>
  <c r="J54" i="5"/>
  <c r="J14" i="5" s="1"/>
  <c r="K54" i="5"/>
  <c r="AM72" i="5"/>
  <c r="K74" i="5"/>
  <c r="J74" i="5"/>
  <c r="J19" i="5" s="1"/>
  <c r="AM44" i="5"/>
  <c r="K46" i="5"/>
  <c r="J46" i="5"/>
  <c r="J12" i="5" s="1"/>
  <c r="AM56" i="5"/>
  <c r="K58" i="5"/>
  <c r="J58" i="5"/>
  <c r="J15" i="5" s="1"/>
  <c r="AM36" i="5"/>
  <c r="J38" i="5"/>
  <c r="J10" i="5" s="1"/>
  <c r="K38" i="5"/>
  <c r="AM60" i="5"/>
  <c r="J62" i="5"/>
  <c r="J16" i="5" s="1"/>
  <c r="K62" i="5"/>
  <c r="AM32" i="5"/>
  <c r="J34" i="5"/>
  <c r="J9" i="5" s="1"/>
  <c r="K34" i="5"/>
  <c r="AM40" i="5"/>
  <c r="K42" i="5"/>
  <c r="J42" i="5"/>
  <c r="J11" i="5" s="1"/>
  <c r="AM68" i="5"/>
  <c r="K70" i="5"/>
  <c r="J70" i="5"/>
  <c r="J18" i="5" s="1"/>
  <c r="AM64" i="5"/>
  <c r="K66" i="5"/>
  <c r="J66" i="5"/>
  <c r="J17" i="5" s="1"/>
  <c r="AO76" i="5" l="1" a="1"/>
  <c r="I78" i="5"/>
  <c r="I20" i="5" s="1"/>
  <c r="AO56" i="5" a="1"/>
  <c r="I58" i="5"/>
  <c r="I15" i="5" s="1"/>
  <c r="AO68" i="5" a="1"/>
  <c r="I70" i="5"/>
  <c r="I18" i="5" s="1"/>
  <c r="AO44" i="5" a="1"/>
  <c r="I46" i="5"/>
  <c r="I12" i="5" s="1"/>
  <c r="AO40" i="5" a="1"/>
  <c r="I42" i="5"/>
  <c r="I11" i="5" s="1"/>
  <c r="AO64" i="5" a="1"/>
  <c r="I66" i="5"/>
  <c r="I17" i="5" s="1"/>
  <c r="AO72" i="5" a="1"/>
  <c r="I74" i="5"/>
  <c r="I19" i="5" s="1"/>
  <c r="AO32" i="5" a="1"/>
  <c r="I34" i="5"/>
  <c r="I9" i="5" s="1"/>
  <c r="AO60" i="5" a="1"/>
  <c r="I62" i="5"/>
  <c r="I16" i="5" s="1"/>
  <c r="AO52" i="5" a="1"/>
  <c r="I54" i="5"/>
  <c r="I14" i="5" s="1"/>
  <c r="AO36" i="5" a="1"/>
  <c r="I38" i="5"/>
  <c r="I10" i="5" s="1"/>
  <c r="AO48" i="5" a="1"/>
  <c r="I50" i="5"/>
  <c r="I13" i="5" s="1"/>
  <c r="K76" i="5" l="1"/>
  <c r="AO76" i="5"/>
  <c r="I76" i="5" s="1"/>
  <c r="K107" i="5" s="1"/>
  <c r="J76" i="5"/>
  <c r="L107" i="5" s="1"/>
  <c r="AO32" i="5"/>
  <c r="I32" i="5" s="1"/>
  <c r="K32" i="5"/>
  <c r="J32" i="5"/>
  <c r="AO60" i="5"/>
  <c r="I60" i="5" s="1"/>
  <c r="K60" i="5"/>
  <c r="J60" i="5"/>
  <c r="AO40" i="5"/>
  <c r="I40" i="5" s="1"/>
  <c r="L11" i="5" s="1"/>
  <c r="P11" i="5" s="1"/>
  <c r="K40" i="5"/>
  <c r="J40" i="5"/>
  <c r="M11" i="5" s="1"/>
  <c r="Q11" i="5" s="1"/>
  <c r="AO68" i="5"/>
  <c r="I68" i="5" s="1"/>
  <c r="K103" i="5" s="1"/>
  <c r="K68" i="5"/>
  <c r="J68" i="5"/>
  <c r="L103" i="5" s="1"/>
  <c r="AO64" i="5"/>
  <c r="I64" i="5" s="1"/>
  <c r="K101" i="5" s="1"/>
  <c r="K64" i="5"/>
  <c r="J64" i="5"/>
  <c r="L101" i="5" s="1"/>
  <c r="AO44" i="5"/>
  <c r="I44" i="5" s="1"/>
  <c r="K44" i="5"/>
  <c r="J44" i="5"/>
  <c r="AO36" i="5"/>
  <c r="I36" i="5" s="1"/>
  <c r="J36" i="5"/>
  <c r="K36" i="5"/>
  <c r="AO72" i="5"/>
  <c r="I72" i="5" s="1"/>
  <c r="K105" i="5" s="1"/>
  <c r="K72" i="5"/>
  <c r="J72" i="5"/>
  <c r="L105" i="5" s="1"/>
  <c r="AO48" i="5"/>
  <c r="I48" i="5" s="1"/>
  <c r="J48" i="5"/>
  <c r="K48" i="5"/>
  <c r="AO52" i="5"/>
  <c r="I52" i="5" s="1"/>
  <c r="J52" i="5"/>
  <c r="K52" i="5"/>
  <c r="AO56" i="5"/>
  <c r="I56" i="5" s="1"/>
  <c r="K56" i="5"/>
  <c r="J56" i="5"/>
  <c r="M19" i="5" l="1"/>
  <c r="Q19" i="5" s="1"/>
  <c r="L104" i="5"/>
  <c r="M16" i="5"/>
  <c r="Q16" i="5" s="1"/>
  <c r="L97" i="5"/>
  <c r="L98" i="5"/>
  <c r="L99" i="5"/>
  <c r="M9" i="5"/>
  <c r="Q9" i="5" s="1"/>
  <c r="L84" i="5"/>
  <c r="L85" i="5"/>
  <c r="M15" i="5"/>
  <c r="Q15" i="5" s="1"/>
  <c r="L96" i="5"/>
  <c r="M20" i="5"/>
  <c r="Q20" i="5" s="1"/>
  <c r="L106" i="5"/>
  <c r="M14" i="5"/>
  <c r="Q14" i="5" s="1"/>
  <c r="L95" i="5"/>
  <c r="L94" i="5"/>
  <c r="M18" i="5"/>
  <c r="Q18" i="5" s="1"/>
  <c r="L102" i="5"/>
  <c r="M13" i="5"/>
  <c r="Q13" i="5" s="1"/>
  <c r="L92" i="5"/>
  <c r="L93" i="5"/>
  <c r="M17" i="5"/>
  <c r="Q17" i="5" s="1"/>
  <c r="L100" i="5"/>
  <c r="M10" i="5"/>
  <c r="Q10" i="5" s="1"/>
  <c r="L86" i="5"/>
  <c r="M12" i="5"/>
  <c r="Q12" i="5" s="1"/>
  <c r="L17" i="5"/>
  <c r="O17" i="5" s="1"/>
  <c r="K100" i="5"/>
  <c r="L18" i="5"/>
  <c r="K102" i="5"/>
  <c r="L12" i="5"/>
  <c r="P12" i="5" s="1"/>
  <c r="K88" i="5"/>
  <c r="K89" i="5"/>
  <c r="L14" i="5"/>
  <c r="P14" i="5" s="1"/>
  <c r="K95" i="5"/>
  <c r="K94" i="5"/>
  <c r="L16" i="5"/>
  <c r="P16" i="5" s="1"/>
  <c r="K99" i="5"/>
  <c r="K98" i="5"/>
  <c r="K97" i="5"/>
  <c r="L20" i="5"/>
  <c r="P20" i="5" s="1"/>
  <c r="K106" i="5"/>
  <c r="L13" i="5"/>
  <c r="K93" i="5"/>
  <c r="K92" i="5"/>
  <c r="L19" i="5"/>
  <c r="O19" i="5" s="1"/>
  <c r="K104" i="5"/>
  <c r="L10" i="5"/>
  <c r="P10" i="5" s="1"/>
  <c r="K86" i="5"/>
  <c r="K87" i="5"/>
  <c r="L9" i="5"/>
  <c r="P9" i="5" s="1"/>
  <c r="K84" i="5"/>
  <c r="K85" i="5"/>
  <c r="L15" i="5"/>
  <c r="P15" i="5" s="1"/>
  <c r="K96" i="5"/>
  <c r="P19" i="5"/>
  <c r="O18" i="5"/>
  <c r="O11" i="5"/>
  <c r="P18" i="5" l="1"/>
  <c r="O13" i="5"/>
  <c r="P13" i="5"/>
  <c r="O10" i="5"/>
  <c r="O12" i="5"/>
  <c r="P17" i="5"/>
  <c r="O20" i="5"/>
  <c r="O9" i="5"/>
  <c r="O15" i="5"/>
  <c r="O16" i="5"/>
  <c r="O14" i="5"/>
  <c r="C83" i="5"/>
  <c r="O25" i="5" l="1" a="1"/>
  <c r="O25" i="5" s="1"/>
  <c r="P25" i="5" s="1"/>
  <c r="D83" i="5"/>
  <c r="D24" i="5" s="1"/>
  <c r="J83" i="5"/>
  <c r="C24" i="5"/>
  <c r="G24" i="5" s="1"/>
  <c r="G83" i="5"/>
  <c r="E83" i="5"/>
  <c r="E24" i="5" s="1"/>
  <c r="J85" i="5" l="1"/>
  <c r="J86" i="5" s="1"/>
  <c r="J87" i="5" s="1"/>
  <c r="J88" i="5" s="1"/>
  <c r="J84" i="5"/>
  <c r="B27" i="5"/>
  <c r="C27" i="5"/>
  <c r="J89" i="5" l="1"/>
  <c r="J90" i="5" s="1"/>
  <c r="J91" i="5" l="1"/>
  <c r="J92" i="5" s="1"/>
  <c r="J93" i="5" l="1"/>
  <c r="J94" i="5" s="1"/>
  <c r="J95" i="5" l="1"/>
  <c r="J96" i="5" s="1"/>
  <c r="J97" i="5" l="1"/>
  <c r="J98" i="5" l="1"/>
  <c r="J99" i="5" s="1"/>
  <c r="J100" i="5" s="1"/>
  <c r="J101" i="5" s="1"/>
  <c r="J102" i="5" s="1"/>
  <c r="J103" i="5" s="1"/>
  <c r="J104" i="5" s="1"/>
  <c r="J105" i="5" l="1"/>
  <c r="J106" i="5" l="1"/>
  <c r="J107" i="5" s="1"/>
  <c r="J10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<sst xmlns="http://schemas.openxmlformats.org/spreadsheetml/2006/main" count="231" uniqueCount="108">
  <si>
    <t>Material ID</t>
  </si>
  <si>
    <t>Thickness</t>
  </si>
  <si>
    <t>Material Name</t>
  </si>
  <si>
    <t>T700S/UF3325</t>
  </si>
  <si>
    <t>T1100S/UF3376</t>
  </si>
  <si>
    <t>T1100S/UF3325</t>
  </si>
  <si>
    <t>IM7/8552</t>
  </si>
  <si>
    <t>IM10/UF3376</t>
  </si>
  <si>
    <t>E-1</t>
  </si>
  <si>
    <t>E-2</t>
  </si>
  <si>
    <t>nu-12</t>
  </si>
  <si>
    <t>G-12</t>
  </si>
  <si>
    <t>[psi]</t>
  </si>
  <si>
    <t>Layer ID</t>
  </si>
  <si>
    <t>Pressure</t>
  </si>
  <si>
    <t>[in]</t>
  </si>
  <si>
    <t>Author: Hayden Brophy</t>
  </si>
  <si>
    <t>Overlap</t>
  </si>
  <si>
    <t>Ply Thickness</t>
  </si>
  <si>
    <t>Layer Thickness</t>
  </si>
  <si>
    <t>G12</t>
  </si>
  <si>
    <t>nu12</t>
  </si>
  <si>
    <t>E1</t>
  </si>
  <si>
    <t>E2</t>
  </si>
  <si>
    <t>nu21</t>
  </si>
  <si>
    <t>Wind Angle</t>
  </si>
  <si>
    <t>[Q]</t>
  </si>
  <si>
    <t>inv[T1]</t>
  </si>
  <si>
    <t>[T2]</t>
  </si>
  <si>
    <t>[Q-bar]</t>
  </si>
  <si>
    <t>[A]</t>
  </si>
  <si>
    <t>x</t>
  </si>
  <si>
    <t>Type</t>
  </si>
  <si>
    <t>inv[A]</t>
  </si>
  <si>
    <t>E_x</t>
  </si>
  <si>
    <t>E_y</t>
  </si>
  <si>
    <t>nu_xy</t>
  </si>
  <si>
    <t>G_xy</t>
  </si>
  <si>
    <t>Laminate Summary</t>
  </si>
  <si>
    <t>Legend:</t>
  </si>
  <si>
    <t>Input</t>
  </si>
  <si>
    <t>Calculation</t>
  </si>
  <si>
    <t>Output</t>
  </si>
  <si>
    <t>Loading Inputs</t>
  </si>
  <si>
    <t>N_x</t>
  </si>
  <si>
    <t>N_y</t>
  </si>
  <si>
    <t>N_xy</t>
  </si>
  <si>
    <t>[Traction]</t>
  </si>
  <si>
    <t>[Strain]</t>
  </si>
  <si>
    <t>Laminae Inputs</t>
  </si>
  <si>
    <t>sig_x</t>
  </si>
  <si>
    <t>sig_y</t>
  </si>
  <si>
    <t>eps_x</t>
  </si>
  <si>
    <t>eps_y</t>
  </si>
  <si>
    <t>def_x</t>
  </si>
  <si>
    <t>def_y</t>
  </si>
  <si>
    <t>Geometry Inputs</t>
  </si>
  <si>
    <t>IM7/CTD133</t>
  </si>
  <si>
    <t>(x10^-3) [in]</t>
  </si>
  <si>
    <t>NULL</t>
  </si>
  <si>
    <t>Y_length</t>
  </si>
  <si>
    <t>X_length</t>
  </si>
  <si>
    <t xml:space="preserve"> Fiber / Matrix</t>
  </si>
  <si>
    <t>Laminate Calculations</t>
  </si>
  <si>
    <t>Case ID</t>
  </si>
  <si>
    <t>Pin-to-Pin Length</t>
  </si>
  <si>
    <t>[lbf/in]</t>
  </si>
  <si>
    <t>E_axial</t>
  </si>
  <si>
    <t>E_hoop</t>
  </si>
  <si>
    <t>sig_axial</t>
  </si>
  <si>
    <t>sig_hoop</t>
  </si>
  <si>
    <t>eps_axial</t>
  </si>
  <si>
    <t>eps_hoop</t>
  </si>
  <si>
    <t>def_axial</t>
  </si>
  <si>
    <t>Laminae Details</t>
  </si>
  <si>
    <t>Layup Input</t>
  </si>
  <si>
    <t>Loading Input</t>
  </si>
  <si>
    <t>Geometry Input</t>
  </si>
  <si>
    <t>Def_eff</t>
  </si>
  <si>
    <t>[]</t>
  </si>
  <si>
    <t>[Local Strain]</t>
  </si>
  <si>
    <t>[Local Stress]</t>
  </si>
  <si>
    <t>sig1</t>
  </si>
  <si>
    <t>sig2</t>
  </si>
  <si>
    <t>tau12</t>
  </si>
  <si>
    <t>eps1</t>
  </si>
  <si>
    <t>eps2</t>
  </si>
  <si>
    <t>gam12</t>
  </si>
  <si>
    <t>Laminate Details</t>
  </si>
  <si>
    <t>Ply Strain</t>
  </si>
  <si>
    <t>Ply Stress</t>
  </si>
  <si>
    <t>Tsai-Hill</t>
  </si>
  <si>
    <t>S1</t>
  </si>
  <si>
    <t>S2</t>
  </si>
  <si>
    <t>S12</t>
  </si>
  <si>
    <t>Failure Criteria (FOS)</t>
  </si>
  <si>
    <t>Fiber</t>
  </si>
  <si>
    <t>Hashin</t>
  </si>
  <si>
    <t>Matrix</t>
  </si>
  <si>
    <t>Laminate Viewer:</t>
  </si>
  <si>
    <t>def_radial</t>
  </si>
  <si>
    <t>Min FOS</t>
  </si>
  <si>
    <t>Failure Summary</t>
  </si>
  <si>
    <t>Thru-thickness Stress</t>
  </si>
  <si>
    <t>Z-pos</t>
  </si>
  <si>
    <t>Safe Limit Pressure</t>
  </si>
  <si>
    <t>Laminate Case Analysis (v0.1)</t>
  </si>
  <si>
    <t>Laminate Plate Analysis (v0.1)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</si>
</sst>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"/>
    <numFmt numFmtId="167" formatCode="0.0000"/>
    <numFmt numFmtId="168" formatCode="0.0E+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5"/>
      <color theme="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rgb="FF7F7F7F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rgb="FFB2B2B2"/>
      </left>
      <right/>
      <top style="thin">
        <color rgb="FF7F7F7F"/>
      </top>
      <bottom/>
      <diagonal/>
    </border>
    <border>
      <left style="thin">
        <color rgb="FFB2B2B2"/>
      </left>
      <right/>
      <top/>
      <bottom/>
      <diagonal/>
    </border>
    <border>
      <left/>
      <right/>
      <top/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1" fillId="4" borderId="3" applyNumberFormat="0" applyFont="0" applyAlignment="0" applyProtection="0"/>
    <xf numFmtId="0" fontId="7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2" fillId="2" borderId="1" xfId="1" applyAlignment="1">
      <alignment horizontal="center"/>
    </xf>
    <xf numFmtId="11" fontId="0" fillId="0" borderId="0" xfId="0" applyNumberFormat="1"/>
    <xf numFmtId="0" fontId="4" fillId="3" borderId="1" xfId="3" applyAlignment="1">
      <alignment horizontal="center"/>
    </xf>
    <xf numFmtId="11" fontId="4" fillId="3" borderId="1" xfId="3" applyNumberFormat="1"/>
    <xf numFmtId="1" fontId="2" fillId="2" borderId="1" xfId="1" applyNumberFormat="1" applyAlignment="1">
      <alignment horizontal="center"/>
    </xf>
    <xf numFmtId="0" fontId="0" fillId="0" borderId="0" xfId="0" applyAlignment="1">
      <alignment horizontal="center"/>
    </xf>
    <xf numFmtId="9" fontId="2" fillId="2" borderId="1" xfId="1" applyNumberFormat="1" applyAlignment="1">
      <alignment horizontal="center"/>
    </xf>
    <xf numFmtId="164" fontId="3" fillId="3" borderId="2" xfId="2" applyNumberFormat="1" applyAlignment="1">
      <alignment horizontal="center"/>
    </xf>
    <xf numFmtId="164" fontId="4" fillId="3" borderId="1" xfId="3" applyNumberFormat="1" applyAlignment="1">
      <alignment horizontal="center"/>
    </xf>
    <xf numFmtId="11" fontId="4" fillId="3" borderId="1" xfId="3" applyNumberFormat="1" applyAlignment="1">
      <alignment horizontal="center"/>
    </xf>
    <xf numFmtId="0" fontId="8" fillId="0" borderId="0" xfId="6"/>
    <xf numFmtId="0" fontId="8" fillId="0" borderId="0" xfId="6" applyAlignment="1">
      <alignment horizontal="center"/>
    </xf>
    <xf numFmtId="164" fontId="4" fillId="3" borderId="1" xfId="3" applyNumberFormat="1"/>
    <xf numFmtId="1" fontId="4" fillId="3" borderId="1" xfId="3" applyNumberFormat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 vertical="center"/>
    </xf>
    <xf numFmtId="164" fontId="4" fillId="3" borderId="1" xfId="3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1" fillId="0" borderId="0" xfId="7" applyAlignment="1"/>
    <xf numFmtId="0" fontId="8" fillId="0" borderId="0" xfId="6" applyAlignment="1">
      <alignment horizontal="center" vertical="center"/>
    </xf>
    <xf numFmtId="165" fontId="4" fillId="3" borderId="1" xfId="3" applyNumberFormat="1" applyAlignment="1">
      <alignment horizontal="center"/>
    </xf>
    <xf numFmtId="11" fontId="4" fillId="3" borderId="1" xfId="3" applyNumberForma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8" fillId="0" borderId="0" xfId="6" applyBorder="1" applyAlignment="1">
      <alignment horizontal="center" vertical="center"/>
    </xf>
    <xf numFmtId="1" fontId="3" fillId="3" borderId="2" xfId="2" applyNumberFormat="1" applyAlignment="1">
      <alignment horizontal="center"/>
    </xf>
    <xf numFmtId="11" fontId="3" fillId="3" borderId="2" xfId="2" applyNumberFormat="1" applyAlignment="1">
      <alignment horizontal="center"/>
    </xf>
    <xf numFmtId="0" fontId="12" fillId="0" borderId="0" xfId="7" applyFont="1" applyAlignment="1"/>
    <xf numFmtId="0" fontId="8" fillId="0" borderId="0" xfId="6" applyBorder="1" applyAlignment="1">
      <alignment vertical="center"/>
    </xf>
    <xf numFmtId="2" fontId="3" fillId="3" borderId="2" xfId="2" applyNumberFormat="1" applyAlignment="1">
      <alignment horizontal="center"/>
    </xf>
    <xf numFmtId="0" fontId="13" fillId="0" borderId="0" xfId="0" applyFont="1" applyAlignment="1">
      <alignment horizontal="center" vertical="top"/>
    </xf>
    <xf numFmtId="1" fontId="9" fillId="0" borderId="0" xfId="0" applyNumberFormat="1" applyFont="1"/>
    <xf numFmtId="0" fontId="9" fillId="0" borderId="0" xfId="0" applyFont="1"/>
    <xf numFmtId="2" fontId="9" fillId="0" borderId="0" xfId="0" applyNumberFormat="1" applyFont="1"/>
    <xf numFmtId="0" fontId="5" fillId="4" borderId="3" xfId="4" applyFont="1" applyAlignment="1">
      <alignment horizontal="center" vertic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8" fillId="0" borderId="7" xfId="6" applyBorder="1" applyAlignment="1">
      <alignment horizontal="center"/>
    </xf>
    <xf numFmtId="0" fontId="8" fillId="0" borderId="7" xfId="6" applyBorder="1" applyAlignment="1">
      <alignment horizontal="center" vertical="center"/>
    </xf>
    <xf numFmtId="0" fontId="0" fillId="0" borderId="21" xfId="0" applyBorder="1"/>
    <xf numFmtId="0" fontId="0" fillId="0" borderId="12" xfId="0" applyBorder="1"/>
    <xf numFmtId="0" fontId="0" fillId="0" borderId="22" xfId="0" applyBorder="1"/>
    <xf numFmtId="0" fontId="5" fillId="4" borderId="3" xfId="4" applyFont="1" applyAlignment="1">
      <alignment horizontal="center"/>
    </xf>
    <xf numFmtId="9" fontId="8" fillId="0" borderId="0" xfId="8" applyFont="1" applyAlignment="1">
      <alignment horizontal="center" vertical="center"/>
    </xf>
    <xf numFmtId="166" fontId="2" fillId="2" borderId="1" xfId="1" applyNumberFormat="1" applyAlignment="1">
      <alignment horizontal="center"/>
    </xf>
    <xf numFmtId="1" fontId="3" fillId="3" borderId="2" xfId="8" applyNumberFormat="1" applyFont="1" applyFill="1" applyBorder="1" applyAlignment="1">
      <alignment horizontal="center"/>
    </xf>
    <xf numFmtId="9" fontId="0" fillId="0" borderId="0" xfId="8" applyFont="1"/>
    <xf numFmtId="165" fontId="14" fillId="0" borderId="0" xfId="0" applyNumberFormat="1" applyFont="1" applyAlignment="1">
      <alignment horizontal="center" vertical="center"/>
    </xf>
    <xf numFmtId="166" fontId="2" fillId="2" borderId="1" xfId="1" applyNumberFormat="1" applyAlignment="1">
      <alignment horizontal="center" vertical="center"/>
    </xf>
    <xf numFmtId="164" fontId="0" fillId="0" borderId="0" xfId="0" applyNumberFormat="1"/>
    <xf numFmtId="164" fontId="8" fillId="0" borderId="0" xfId="6" applyNumberFormat="1"/>
    <xf numFmtId="0" fontId="8" fillId="0" borderId="7" xfId="6" applyBorder="1" applyAlignment="1">
      <alignment horizontal="left" vertical="center"/>
    </xf>
    <xf numFmtId="0" fontId="4" fillId="3" borderId="1" xfId="3"/>
    <xf numFmtId="1" fontId="4" fillId="3" borderId="1" xfId="3" applyNumberFormat="1"/>
    <xf numFmtId="168" fontId="4" fillId="3" borderId="1" xfId="3" applyNumberFormat="1"/>
    <xf numFmtId="0" fontId="6" fillId="0" borderId="0" xfId="0" applyFont="1"/>
    <xf numFmtId="10" fontId="3" fillId="3" borderId="2" xfId="2" applyNumberFormat="1"/>
    <xf numFmtId="1" fontId="3" fillId="3" borderId="2" xfId="2" applyNumberFormat="1"/>
    <xf numFmtId="0" fontId="8" fillId="0" borderId="23" xfId="6" applyBorder="1" applyAlignment="1">
      <alignment horizontal="center" vertical="center"/>
    </xf>
    <xf numFmtId="0" fontId="8" fillId="0" borderId="0" xfId="6" applyAlignment="1">
      <alignment wrapText="1"/>
    </xf>
    <xf numFmtId="1" fontId="0" fillId="0" borderId="0" xfId="0" applyNumberFormat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167" fontId="0" fillId="0" borderId="0" xfId="0" applyNumberFormat="1" applyAlignment="1">
      <alignment horizontal="center"/>
    </xf>
    <xf numFmtId="0" fontId="13" fillId="0" borderId="26" xfId="0" applyFont="1" applyBorder="1" applyAlignment="1">
      <alignment horizontal="center" vertical="top"/>
    </xf>
    <xf numFmtId="0" fontId="12" fillId="0" borderId="0" xfId="7" applyFont="1" applyAlignment="1">
      <alignment horizontal="center"/>
    </xf>
    <xf numFmtId="0" fontId="8" fillId="0" borderId="23" xfId="6" applyBorder="1" applyAlignment="1">
      <alignment horizontal="center"/>
    </xf>
    <xf numFmtId="1" fontId="3" fillId="3" borderId="24" xfId="2" applyNumberFormat="1" applyBorder="1" applyAlignment="1">
      <alignment horizontal="center"/>
    </xf>
    <xf numFmtId="1" fontId="3" fillId="3" borderId="25" xfId="2" applyNumberFormat="1" applyBorder="1" applyAlignment="1">
      <alignment horizontal="center"/>
    </xf>
    <xf numFmtId="0" fontId="8" fillId="0" borderId="0" xfId="6" applyAlignment="1">
      <alignment horizontal="center"/>
    </xf>
    <xf numFmtId="0" fontId="8" fillId="0" borderId="0" xfId="6" applyAlignment="1">
      <alignment horizontal="center" vertical="center"/>
    </xf>
    <xf numFmtId="0" fontId="8" fillId="0" borderId="23" xfId="6" applyBorder="1" applyAlignment="1">
      <alignment horizontal="center" vertical="center"/>
    </xf>
    <xf numFmtId="0" fontId="8" fillId="0" borderId="0" xfId="6" applyAlignment="1">
      <alignment horizontal="left" vertical="center"/>
    </xf>
    <xf numFmtId="0" fontId="4" fillId="3" borderId="5" xfId="3" applyBorder="1" applyAlignment="1">
      <alignment horizontal="center"/>
    </xf>
    <xf numFmtId="0" fontId="4" fillId="3" borderId="6" xfId="3" applyBorder="1" applyAlignment="1">
      <alignment horizontal="center"/>
    </xf>
    <xf numFmtId="0" fontId="3" fillId="3" borderId="10" xfId="2" applyBorder="1" applyAlignment="1">
      <alignment horizontal="center"/>
    </xf>
    <xf numFmtId="0" fontId="3" fillId="3" borderId="11" xfId="2" applyBorder="1" applyAlignment="1">
      <alignment horizontal="center"/>
    </xf>
    <xf numFmtId="0" fontId="10" fillId="0" borderId="4" xfId="5" applyFont="1" applyAlignment="1">
      <alignment horizontal="center"/>
    </xf>
    <xf numFmtId="0" fontId="8" fillId="0" borderId="8" xfId="6" applyBorder="1" applyAlignment="1">
      <alignment horizontal="left"/>
    </xf>
    <xf numFmtId="0" fontId="8" fillId="0" borderId="9" xfId="6" applyBorder="1" applyAlignment="1">
      <alignment horizontal="left"/>
    </xf>
    <xf numFmtId="0" fontId="2" fillId="2" borderId="5" xfId="1" applyBorder="1" applyAlignment="1">
      <alignment horizontal="center" vertical="center"/>
    </xf>
    <xf numFmtId="0" fontId="2" fillId="2" borderId="6" xfId="1" applyBorder="1" applyAlignment="1">
      <alignment horizontal="center" vertical="center"/>
    </xf>
    <xf numFmtId="0" fontId="8" fillId="0" borderId="7" xfId="6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0" fontId="5" fillId="4" borderId="3" xfId="4" applyFont="1" applyAlignment="1">
      <alignment horizontal="center" vertical="center"/>
    </xf>
    <xf numFmtId="0" fontId="8" fillId="0" borderId="7" xfId="6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9">
    <cellStyle name="Calculation" xfId="3" builtinId="22"/>
    <cellStyle name="Explanatory Text" xfId="6" builtinId="53"/>
    <cellStyle name="Heading 1" xfId="5" builtinId="16"/>
    <cellStyle name="Hyperlink" xfId="7" builtinId="8"/>
    <cellStyle name="Input" xfId="1" builtinId="20"/>
    <cellStyle name="Normal" xfId="0" builtinId="0"/>
    <cellStyle name="Note" xfId="4" builtinId="10"/>
    <cellStyle name="Output" xfId="2" builtinId="21"/>
    <cellStyle name="Percent" xfId="8" builtinId="5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Case!$J$83:$J$108</c:f>
              <c:numCache>
                <c:formatCode>0.0000</c:formatCode>
                <c:ptCount val="26"/>
                <c:pt idx="0">
                  <c:v>-6.8125000000000005E-2</c:v>
                </c:pt>
                <c:pt idx="1">
                  <c:v>-6.8125000000000005E-2</c:v>
                </c:pt>
                <c:pt idx="2">
                  <c:v>-5.0625000000000003E-2</c:v>
                </c:pt>
                <c:pt idx="3">
                  <c:v>-5.0625000000000003E-2</c:v>
                </c:pt>
                <c:pt idx="4">
                  <c:v>-3.3125000000000002E-2</c:v>
                </c:pt>
                <c:pt idx="5">
                  <c:v>-3.3125000000000002E-2</c:v>
                </c:pt>
                <c:pt idx="6">
                  <c:v>-1.5625E-2</c:v>
                </c:pt>
                <c:pt idx="7">
                  <c:v>-1.5625E-2</c:v>
                </c:pt>
                <c:pt idx="8">
                  <c:v>0</c:v>
                </c:pt>
                <c:pt idx="9">
                  <c:v>0</c:v>
                </c:pt>
                <c:pt idx="10">
                  <c:v>1.5625E-2</c:v>
                </c:pt>
                <c:pt idx="11">
                  <c:v>1.5625E-2</c:v>
                </c:pt>
                <c:pt idx="12">
                  <c:v>3.3125000000000002E-2</c:v>
                </c:pt>
                <c:pt idx="13">
                  <c:v>3.3125000000000002E-2</c:v>
                </c:pt>
                <c:pt idx="14">
                  <c:v>5.0625000000000003E-2</c:v>
                </c:pt>
                <c:pt idx="15">
                  <c:v>5.0625000000000003E-2</c:v>
                </c:pt>
                <c:pt idx="16">
                  <c:v>6.8125000000000005E-2</c:v>
                </c:pt>
                <c:pt idx="17">
                  <c:v>6.8125000000000005E-2</c:v>
                </c:pt>
                <c:pt idx="18">
                  <c:v>6.8125000000000005E-2</c:v>
                </c:pt>
                <c:pt idx="19">
                  <c:v>6.8125000000000005E-2</c:v>
                </c:pt>
                <c:pt idx="20">
                  <c:v>6.8125000000000005E-2</c:v>
                </c:pt>
                <c:pt idx="21">
                  <c:v>6.8125000000000005E-2</c:v>
                </c:pt>
                <c:pt idx="22">
                  <c:v>6.8125000000000005E-2</c:v>
                </c:pt>
                <c:pt idx="23">
                  <c:v>6.8125000000000005E-2</c:v>
                </c:pt>
                <c:pt idx="24">
                  <c:v>6.8125000000000005E-2</c:v>
                </c:pt>
                <c:pt idx="25">
                  <c:v>6.8125000000000005E-2</c:v>
                </c:pt>
              </c:numCache>
            </c:numRef>
          </c:xVal>
          <c:yVal>
            <c:numRef>
              <c:f>Case!$K$83:$K$108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20672.340481157189</c:v>
                </c:pt>
                <c:pt idx="2">
                  <c:v>20672.340481157189</c:v>
                </c:pt>
                <c:pt idx="3">
                  <c:v>20672.340481157189</c:v>
                </c:pt>
                <c:pt idx="4">
                  <c:v>20672.340481157189</c:v>
                </c:pt>
                <c:pt idx="5">
                  <c:v>19222.783381557521</c:v>
                </c:pt>
                <c:pt idx="6">
                  <c:v>19222.783381557521</c:v>
                </c:pt>
                <c:pt idx="7">
                  <c:v>19222.783381557521</c:v>
                </c:pt>
                <c:pt idx="8">
                  <c:v>19222.783381557521</c:v>
                </c:pt>
                <c:pt idx="9">
                  <c:v>28405.620168060494</c:v>
                </c:pt>
                <c:pt idx="10">
                  <c:v>28405.620168060494</c:v>
                </c:pt>
                <c:pt idx="11">
                  <c:v>28405.620168060494</c:v>
                </c:pt>
                <c:pt idx="12">
                  <c:v>28405.620168060494</c:v>
                </c:pt>
                <c:pt idx="13">
                  <c:v>38534.937611432295</c:v>
                </c:pt>
                <c:pt idx="14">
                  <c:v>38534.937611432295</c:v>
                </c:pt>
                <c:pt idx="15">
                  <c:v>38534.937611432295</c:v>
                </c:pt>
                <c:pt idx="16">
                  <c:v>38534.937611432295</c:v>
                </c:pt>
                <c:pt idx="17">
                  <c:v>1.9633720228689924E-3</c:v>
                </c:pt>
                <c:pt idx="18">
                  <c:v>1.9633720228689924E-3</c:v>
                </c:pt>
                <c:pt idx="19">
                  <c:v>1.9633720228689924E-3</c:v>
                </c:pt>
                <c:pt idx="20">
                  <c:v>1.9633720228689924E-3</c:v>
                </c:pt>
                <c:pt idx="21">
                  <c:v>5.8885731722913275E-4</c:v>
                </c:pt>
                <c:pt idx="22">
                  <c:v>5.8885731722913275E-4</c:v>
                </c:pt>
                <c:pt idx="23">
                  <c:v>5.8885731722913275E-4</c:v>
                </c:pt>
                <c:pt idx="24">
                  <c:v>5.8885731722913275E-4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3-4D80-B6C8-769DE0A6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Fiber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Case!$J$83:$J$108</c:f>
              <c:numCache>
                <c:formatCode>0.0000</c:formatCode>
                <c:ptCount val="26"/>
                <c:pt idx="0">
                  <c:v>-6.8125000000000005E-2</c:v>
                </c:pt>
                <c:pt idx="1">
                  <c:v>-6.8125000000000005E-2</c:v>
                </c:pt>
                <c:pt idx="2">
                  <c:v>-5.0625000000000003E-2</c:v>
                </c:pt>
                <c:pt idx="3">
                  <c:v>-5.0625000000000003E-2</c:v>
                </c:pt>
                <c:pt idx="4">
                  <c:v>-3.3125000000000002E-2</c:v>
                </c:pt>
                <c:pt idx="5">
                  <c:v>-3.3125000000000002E-2</c:v>
                </c:pt>
                <c:pt idx="6">
                  <c:v>-1.5625E-2</c:v>
                </c:pt>
                <c:pt idx="7">
                  <c:v>-1.5625E-2</c:v>
                </c:pt>
                <c:pt idx="8">
                  <c:v>0</c:v>
                </c:pt>
                <c:pt idx="9">
                  <c:v>0</c:v>
                </c:pt>
                <c:pt idx="10">
                  <c:v>1.5625E-2</c:v>
                </c:pt>
                <c:pt idx="11">
                  <c:v>1.5625E-2</c:v>
                </c:pt>
                <c:pt idx="12">
                  <c:v>3.3125000000000002E-2</c:v>
                </c:pt>
                <c:pt idx="13">
                  <c:v>3.3125000000000002E-2</c:v>
                </c:pt>
                <c:pt idx="14">
                  <c:v>5.0625000000000003E-2</c:v>
                </c:pt>
                <c:pt idx="15">
                  <c:v>5.0625000000000003E-2</c:v>
                </c:pt>
                <c:pt idx="16">
                  <c:v>6.8125000000000005E-2</c:v>
                </c:pt>
                <c:pt idx="17">
                  <c:v>6.8125000000000005E-2</c:v>
                </c:pt>
                <c:pt idx="18">
                  <c:v>6.8125000000000005E-2</c:v>
                </c:pt>
                <c:pt idx="19">
                  <c:v>6.8125000000000005E-2</c:v>
                </c:pt>
                <c:pt idx="20">
                  <c:v>6.8125000000000005E-2</c:v>
                </c:pt>
                <c:pt idx="21">
                  <c:v>6.8125000000000005E-2</c:v>
                </c:pt>
                <c:pt idx="22">
                  <c:v>6.8125000000000005E-2</c:v>
                </c:pt>
                <c:pt idx="23">
                  <c:v>6.8125000000000005E-2</c:v>
                </c:pt>
                <c:pt idx="24">
                  <c:v>6.8125000000000005E-2</c:v>
                </c:pt>
                <c:pt idx="25">
                  <c:v>6.8125000000000005E-2</c:v>
                </c:pt>
              </c:numCache>
            </c:numRef>
          </c:xVal>
          <c:yVal>
            <c:numRef>
              <c:f>Case!$L$83:$L$108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1722.110182065423</c:v>
                </c:pt>
                <c:pt idx="2">
                  <c:v>1722.110182065423</c:v>
                </c:pt>
                <c:pt idx="3">
                  <c:v>1722.110182065423</c:v>
                </c:pt>
                <c:pt idx="4">
                  <c:v>1722.110182065423</c:v>
                </c:pt>
                <c:pt idx="5">
                  <c:v>1791.6959695082271</c:v>
                </c:pt>
                <c:pt idx="6">
                  <c:v>1791.6959695082271</c:v>
                </c:pt>
                <c:pt idx="7">
                  <c:v>1791.6959695082271</c:v>
                </c:pt>
                <c:pt idx="8">
                  <c:v>1791.6959695082271</c:v>
                </c:pt>
                <c:pt idx="9">
                  <c:v>1350.8751636744805</c:v>
                </c:pt>
                <c:pt idx="10">
                  <c:v>1350.8751636744805</c:v>
                </c:pt>
                <c:pt idx="11">
                  <c:v>1350.8751636744805</c:v>
                </c:pt>
                <c:pt idx="12">
                  <c:v>1350.8751636744805</c:v>
                </c:pt>
                <c:pt idx="13">
                  <c:v>864.61868523025953</c:v>
                </c:pt>
                <c:pt idx="14">
                  <c:v>864.61868523025953</c:v>
                </c:pt>
                <c:pt idx="15">
                  <c:v>864.61868523025953</c:v>
                </c:pt>
                <c:pt idx="16">
                  <c:v>864.61868523025953</c:v>
                </c:pt>
                <c:pt idx="17">
                  <c:v>5.8927610339600727E-4</c:v>
                </c:pt>
                <c:pt idx="18">
                  <c:v>5.8927610339600727E-4</c:v>
                </c:pt>
                <c:pt idx="19">
                  <c:v>5.8927610339600727E-4</c:v>
                </c:pt>
                <c:pt idx="20">
                  <c:v>5.8927610339600727E-4</c:v>
                </c:pt>
                <c:pt idx="21">
                  <c:v>1.9637908090358665E-3</c:v>
                </c:pt>
                <c:pt idx="22">
                  <c:v>1.9637908090358665E-3</c:v>
                </c:pt>
                <c:pt idx="23">
                  <c:v>1.9637908090358665E-3</c:v>
                </c:pt>
                <c:pt idx="24">
                  <c:v>1.9637908090358665E-3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0-4AEE-BDA0-5DFF964F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Matrix</a:t>
                </a:r>
                <a:r>
                  <a:rPr lang="en-US" baseline="0"/>
                  <a:t> </a:t>
                </a:r>
                <a:r>
                  <a:rPr lang="en-US"/>
                  <a:t>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28</xdr:row>
      <xdr:rowOff>0</xdr:rowOff>
    </xdr:from>
    <xdr:to>
      <xdr:col>15</xdr:col>
      <xdr:colOff>304800</xdr:colOff>
      <xdr:row>29</xdr:row>
      <xdr:rowOff>121919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BAED2A0C-D540-4990-BB1F-130F9CC996A4}"/>
            </a:ext>
          </a:extLst>
        </xdr:cNvPr>
        <xdr:cNvSpPr>
          <a:spLocks noChangeAspect="1" noChangeArrowheads="1"/>
        </xdr:cNvSpPr>
      </xdr:nvSpPr>
      <xdr:spPr bwMode="auto">
        <a:xfrm>
          <a:off x="1061466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20</xdr:col>
      <xdr:colOff>0</xdr:colOff>
      <xdr:row>28</xdr:row>
      <xdr:rowOff>0</xdr:rowOff>
    </xdr:from>
    <xdr:ext cx="304800" cy="306977"/>
    <xdr:sp macro="" textlink="">
      <xdr:nvSpPr>
        <xdr:cNvPr id="237082" name="AutoShape 2">
          <a:extLst>
            <a:ext uri="{FF2B5EF4-FFF2-40B4-BE49-F238E27FC236}">
              <a16:creationId xmlns:a16="http://schemas.microsoft.com/office/drawing/2014/main" id="{25EB24DC-55EC-40B5-97C0-562594378B46}"/>
            </a:ext>
          </a:extLst>
        </xdr:cNvPr>
        <xdr:cNvSpPr>
          <a:spLocks noChangeAspect="1" noChangeArrowheads="1"/>
        </xdr:cNvSpPr>
      </xdr:nvSpPr>
      <xdr:spPr bwMode="auto">
        <a:xfrm>
          <a:off x="10570029" y="5279571"/>
          <a:ext cx="304800" cy="306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25</xdr:col>
      <xdr:colOff>0</xdr:colOff>
      <xdr:row>28</xdr:row>
      <xdr:rowOff>0</xdr:rowOff>
    </xdr:from>
    <xdr:ext cx="304800" cy="306977"/>
    <xdr:sp macro="" textlink="">
      <xdr:nvSpPr>
        <xdr:cNvPr id="237096" name="AutoShape 2">
          <a:extLst>
            <a:ext uri="{FF2B5EF4-FFF2-40B4-BE49-F238E27FC236}">
              <a16:creationId xmlns:a16="http://schemas.microsoft.com/office/drawing/2014/main" id="{0F6006C4-7914-4C07-AC6B-BC020F6F2A5F}"/>
            </a:ext>
          </a:extLst>
        </xdr:cNvPr>
        <xdr:cNvSpPr>
          <a:spLocks noChangeAspect="1" noChangeArrowheads="1"/>
        </xdr:cNvSpPr>
      </xdr:nvSpPr>
      <xdr:spPr bwMode="auto">
        <a:xfrm>
          <a:off x="10570029" y="5279571"/>
          <a:ext cx="304800" cy="306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121920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378691A-DEA7-9CEB-9924-201DA616282C}"/>
            </a:ext>
          </a:extLst>
        </xdr:cNvPr>
        <xdr:cNvSpPr>
          <a:spLocks noChangeAspect="1" noChangeArrowheads="1"/>
        </xdr:cNvSpPr>
      </xdr:nvSpPr>
      <xdr:spPr bwMode="auto">
        <a:xfrm>
          <a:off x="8519160" y="2263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206827</xdr:colOff>
      <xdr:row>13</xdr:row>
      <xdr:rowOff>87086</xdr:rowOff>
    </xdr:from>
    <xdr:to>
      <xdr:col>34</xdr:col>
      <xdr:colOff>206827</xdr:colOff>
      <xdr:row>15</xdr:row>
      <xdr:rowOff>32657</xdr:rowOff>
    </xdr:to>
    <xdr:sp macro="" textlink="">
      <xdr:nvSpPr>
        <xdr:cNvPr id="689716" name="TextBox 689715">
          <a:extLst>
            <a:ext uri="{FF2B5EF4-FFF2-40B4-BE49-F238E27FC236}">
              <a16:creationId xmlns:a16="http://schemas.microsoft.com/office/drawing/2014/main" id="{4BCD7F72-C055-2795-AADB-16E8F7C4DAA8}"/>
            </a:ext>
          </a:extLst>
        </xdr:cNvPr>
        <xdr:cNvSpPr txBox="1"/>
      </xdr:nvSpPr>
      <xdr:spPr>
        <a:xfrm>
          <a:off x="22195970" y="274320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Malibu</a:t>
          </a:r>
        </a:p>
      </xdr:txBody>
    </xdr:sp>
    <xdr:clientData/>
  </xdr:twoCellAnchor>
  <xdr:twoCellAnchor>
    <xdr:from>
      <xdr:col>29</xdr:col>
      <xdr:colOff>163284</xdr:colOff>
      <xdr:row>11</xdr:row>
      <xdr:rowOff>130629</xdr:rowOff>
    </xdr:from>
    <xdr:to>
      <xdr:col>31</xdr:col>
      <xdr:colOff>130627</xdr:colOff>
      <xdr:row>13</xdr:row>
      <xdr:rowOff>76201</xdr:rowOff>
    </xdr:to>
    <xdr:sp macro="" textlink="">
      <xdr:nvSpPr>
        <xdr:cNvPr id="689717" name="TextBox 689716">
          <a:extLst>
            <a:ext uri="{FF2B5EF4-FFF2-40B4-BE49-F238E27FC236}">
              <a16:creationId xmlns:a16="http://schemas.microsoft.com/office/drawing/2014/main" id="{79A09F00-BDE1-4AE4-9F5E-4D26D6DBEF4F}"/>
            </a:ext>
          </a:extLst>
        </xdr:cNvPr>
        <xdr:cNvSpPr txBox="1"/>
      </xdr:nvSpPr>
      <xdr:spPr>
        <a:xfrm>
          <a:off x="20127684" y="2416629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ESIV</a:t>
          </a:r>
        </a:p>
      </xdr:txBody>
    </xdr:sp>
    <xdr:clientData/>
  </xdr:twoCellAnchor>
  <xdr:twoCellAnchor>
    <xdr:from>
      <xdr:col>28</xdr:col>
      <xdr:colOff>315684</xdr:colOff>
      <xdr:row>12</xdr:row>
      <xdr:rowOff>10886</xdr:rowOff>
    </xdr:from>
    <xdr:to>
      <xdr:col>30</xdr:col>
      <xdr:colOff>348341</xdr:colOff>
      <xdr:row>13</xdr:row>
      <xdr:rowOff>141515</xdr:rowOff>
    </xdr:to>
    <xdr:sp macro="" textlink="">
      <xdr:nvSpPr>
        <xdr:cNvPr id="689722" name="TextBox 689721">
          <a:extLst>
            <a:ext uri="{FF2B5EF4-FFF2-40B4-BE49-F238E27FC236}">
              <a16:creationId xmlns:a16="http://schemas.microsoft.com/office/drawing/2014/main" id="{5AAF774C-9D1D-455C-9B89-9A95590BBB1B}"/>
            </a:ext>
          </a:extLst>
        </xdr:cNvPr>
        <xdr:cNvSpPr txBox="1"/>
      </xdr:nvSpPr>
      <xdr:spPr>
        <a:xfrm>
          <a:off x="19583398" y="2481943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F2S3</a:t>
          </a:r>
        </a:p>
      </xdr:txBody>
    </xdr:sp>
    <xdr:clientData/>
  </xdr:twoCellAnchor>
  <xdr:twoCellAnchor>
    <xdr:from>
      <xdr:col>29</xdr:col>
      <xdr:colOff>119741</xdr:colOff>
      <xdr:row>13</xdr:row>
      <xdr:rowOff>21772</xdr:rowOff>
    </xdr:from>
    <xdr:to>
      <xdr:col>31</xdr:col>
      <xdr:colOff>87084</xdr:colOff>
      <xdr:row>14</xdr:row>
      <xdr:rowOff>152401</xdr:rowOff>
    </xdr:to>
    <xdr:sp macro="" textlink="">
      <xdr:nvSpPr>
        <xdr:cNvPr id="689723" name="TextBox 689722">
          <a:extLst>
            <a:ext uri="{FF2B5EF4-FFF2-40B4-BE49-F238E27FC236}">
              <a16:creationId xmlns:a16="http://schemas.microsoft.com/office/drawing/2014/main" id="{FA6A5F12-843A-49ED-92EC-97C2554E5289}"/>
            </a:ext>
          </a:extLst>
        </xdr:cNvPr>
        <xdr:cNvSpPr txBox="1"/>
      </xdr:nvSpPr>
      <xdr:spPr>
        <a:xfrm>
          <a:off x="20084141" y="2677886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ESIII</a:t>
          </a:r>
        </a:p>
      </xdr:txBody>
    </xdr:sp>
    <xdr:clientData/>
  </xdr:twoCellAnchor>
  <xdr:twoCellAnchor>
    <xdr:from>
      <xdr:col>29</xdr:col>
      <xdr:colOff>152398</xdr:colOff>
      <xdr:row>15</xdr:row>
      <xdr:rowOff>54428</xdr:rowOff>
    </xdr:from>
    <xdr:to>
      <xdr:col>31</xdr:col>
      <xdr:colOff>119741</xdr:colOff>
      <xdr:row>17</xdr:row>
      <xdr:rowOff>32657</xdr:rowOff>
    </xdr:to>
    <xdr:sp macro="" textlink="">
      <xdr:nvSpPr>
        <xdr:cNvPr id="689724" name="TextBox 689723">
          <a:extLst>
            <a:ext uri="{FF2B5EF4-FFF2-40B4-BE49-F238E27FC236}">
              <a16:creationId xmlns:a16="http://schemas.microsoft.com/office/drawing/2014/main" id="{AFF35C93-ECDE-422E-BCFA-09CD6EE2642F}"/>
            </a:ext>
          </a:extLst>
        </xdr:cNvPr>
        <xdr:cNvSpPr txBox="1"/>
      </xdr:nvSpPr>
      <xdr:spPr>
        <a:xfrm>
          <a:off x="20116798" y="308065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Fireball</a:t>
          </a:r>
        </a:p>
      </xdr:txBody>
    </xdr:sp>
    <xdr:clientData/>
  </xdr:twoCellAnchor>
  <xdr:twoCellAnchor>
    <xdr:from>
      <xdr:col>28</xdr:col>
      <xdr:colOff>228598</xdr:colOff>
      <xdr:row>17</xdr:row>
      <xdr:rowOff>87084</xdr:rowOff>
    </xdr:from>
    <xdr:to>
      <xdr:col>30</xdr:col>
      <xdr:colOff>261255</xdr:colOff>
      <xdr:row>19</xdr:row>
      <xdr:rowOff>54427</xdr:rowOff>
    </xdr:to>
    <xdr:sp macro="" textlink="">
      <xdr:nvSpPr>
        <xdr:cNvPr id="689725" name="TextBox 689724">
          <a:extLst>
            <a:ext uri="{FF2B5EF4-FFF2-40B4-BE49-F238E27FC236}">
              <a16:creationId xmlns:a16="http://schemas.microsoft.com/office/drawing/2014/main" id="{DF77BA5B-A507-45E2-B730-84354B43DDB0}"/>
            </a:ext>
          </a:extLst>
        </xdr:cNvPr>
        <xdr:cNvSpPr txBox="1"/>
      </xdr:nvSpPr>
      <xdr:spPr>
        <a:xfrm>
          <a:off x="19496312" y="345077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</a:t>
          </a:r>
        </a:p>
      </xdr:txBody>
    </xdr:sp>
    <xdr:clientData/>
  </xdr:twoCellAnchor>
  <xdr:twoCellAnchor>
    <xdr:from>
      <xdr:col>29</xdr:col>
      <xdr:colOff>141512</xdr:colOff>
      <xdr:row>16</xdr:row>
      <xdr:rowOff>141513</xdr:rowOff>
    </xdr:from>
    <xdr:to>
      <xdr:col>31</xdr:col>
      <xdr:colOff>108855</xdr:colOff>
      <xdr:row>18</xdr:row>
      <xdr:rowOff>108856</xdr:rowOff>
    </xdr:to>
    <xdr:sp macro="" textlink="">
      <xdr:nvSpPr>
        <xdr:cNvPr id="689726" name="TextBox 689725">
          <a:extLst>
            <a:ext uri="{FF2B5EF4-FFF2-40B4-BE49-F238E27FC236}">
              <a16:creationId xmlns:a16="http://schemas.microsoft.com/office/drawing/2014/main" id="{5BAAF307-FD3F-44E9-ABE2-B0BD57276308}"/>
            </a:ext>
          </a:extLst>
        </xdr:cNvPr>
        <xdr:cNvSpPr txBox="1"/>
      </xdr:nvSpPr>
      <xdr:spPr>
        <a:xfrm>
          <a:off x="20105912" y="333102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Jawbone</a:t>
          </a:r>
        </a:p>
      </xdr:txBody>
    </xdr:sp>
    <xdr:clientData/>
  </xdr:twoCellAnchor>
  <xdr:twoCellAnchor>
    <xdr:from>
      <xdr:col>31</xdr:col>
      <xdr:colOff>130629</xdr:colOff>
      <xdr:row>4</xdr:row>
      <xdr:rowOff>32657</xdr:rowOff>
    </xdr:from>
    <xdr:to>
      <xdr:col>33</xdr:col>
      <xdr:colOff>402770</xdr:colOff>
      <xdr:row>5</xdr:row>
      <xdr:rowOff>97971</xdr:rowOff>
    </xdr:to>
    <xdr:sp macro="" textlink="">
      <xdr:nvSpPr>
        <xdr:cNvPr id="689727" name="TextBox 689726">
          <a:extLst>
            <a:ext uri="{FF2B5EF4-FFF2-40B4-BE49-F238E27FC236}">
              <a16:creationId xmlns:a16="http://schemas.microsoft.com/office/drawing/2014/main" id="{CE7BE8AC-7EFF-4DEA-9F05-AED07840A481}"/>
            </a:ext>
          </a:extLst>
        </xdr:cNvPr>
        <xdr:cNvSpPr txBox="1"/>
      </xdr:nvSpPr>
      <xdr:spPr>
        <a:xfrm>
          <a:off x="21466629" y="1023257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CFRP Limit</a:t>
          </a:r>
        </a:p>
      </xdr:txBody>
    </xdr:sp>
    <xdr:clientData/>
  </xdr:twoCellAnchor>
  <xdr:twoCellAnchor>
    <xdr:from>
      <xdr:col>31</xdr:col>
      <xdr:colOff>141515</xdr:colOff>
      <xdr:row>18</xdr:row>
      <xdr:rowOff>54429</xdr:rowOff>
    </xdr:from>
    <xdr:to>
      <xdr:col>33</xdr:col>
      <xdr:colOff>413656</xdr:colOff>
      <xdr:row>19</xdr:row>
      <xdr:rowOff>130628</xdr:rowOff>
    </xdr:to>
    <xdr:sp macro="" textlink="">
      <xdr:nvSpPr>
        <xdr:cNvPr id="689728" name="TextBox 689727">
          <a:extLst>
            <a:ext uri="{FF2B5EF4-FFF2-40B4-BE49-F238E27FC236}">
              <a16:creationId xmlns:a16="http://schemas.microsoft.com/office/drawing/2014/main" id="{BB8D0F3B-67A6-4553-BC86-2421345EDC5C}"/>
            </a:ext>
          </a:extLst>
        </xdr:cNvPr>
        <xdr:cNvSpPr txBox="1"/>
      </xdr:nvSpPr>
      <xdr:spPr>
        <a:xfrm>
          <a:off x="21477515" y="3592286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AL Limit</a:t>
          </a:r>
        </a:p>
      </xdr:txBody>
    </xdr:sp>
    <xdr:clientData/>
  </xdr:twoCellAnchor>
  <xdr:twoCellAnchor editAs="oneCell">
    <xdr:from>
      <xdr:col>11</xdr:col>
      <xdr:colOff>21772</xdr:colOff>
      <xdr:row>1</xdr:row>
      <xdr:rowOff>44949</xdr:rowOff>
    </xdr:from>
    <xdr:to>
      <xdr:col>12</xdr:col>
      <xdr:colOff>576943</xdr:colOff>
      <xdr:row>4</xdr:row>
      <xdr:rowOff>141514</xdr:rowOff>
    </xdr:to>
    <xdr:pic>
      <xdr:nvPicPr>
        <xdr:cNvPr id="697597" name="Picture 697596">
          <a:extLst>
            <a:ext uri="{FF2B5EF4-FFF2-40B4-BE49-F238E27FC236}">
              <a16:creationId xmlns:a16="http://schemas.microsoft.com/office/drawing/2014/main" id="{490A4EA0-7EC7-4AFE-B4F5-718DF6BD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4086" y="469492"/>
          <a:ext cx="1186543" cy="662622"/>
        </a:xfrm>
        <a:prstGeom prst="rect">
          <a:avLst/>
        </a:prstGeom>
      </xdr:spPr>
    </xdr:pic>
    <xdr:clientData/>
  </xdr:twoCellAnchor>
  <xdr:twoCellAnchor>
    <xdr:from>
      <xdr:col>18</xdr:col>
      <xdr:colOff>21769</xdr:colOff>
      <xdr:row>0</xdr:row>
      <xdr:rowOff>87086</xdr:rowOff>
    </xdr:from>
    <xdr:to>
      <xdr:col>24</xdr:col>
      <xdr:colOff>304799</xdr:colOff>
      <xdr:row>13</xdr:row>
      <xdr:rowOff>87086</xdr:rowOff>
    </xdr:to>
    <xdr:graphicFrame macro="">
      <xdr:nvGraphicFramePr>
        <xdr:cNvPr id="698573" name="Chart 698572">
          <a:extLst>
            <a:ext uri="{FF2B5EF4-FFF2-40B4-BE49-F238E27FC236}">
              <a16:creationId xmlns:a16="http://schemas.microsoft.com/office/drawing/2014/main" id="{29884770-1FA9-F4E1-222F-5176088C7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10883</xdr:colOff>
      <xdr:row>13</xdr:row>
      <xdr:rowOff>152398</xdr:rowOff>
    </xdr:from>
    <xdr:to>
      <xdr:col>24</xdr:col>
      <xdr:colOff>304799</xdr:colOff>
      <xdr:row>29</xdr:row>
      <xdr:rowOff>10885</xdr:rowOff>
    </xdr:to>
    <xdr:graphicFrame macro="">
      <xdr:nvGraphicFramePr>
        <xdr:cNvPr id="699653" name="Chart 699652">
          <a:extLst>
            <a:ext uri="{FF2B5EF4-FFF2-40B4-BE49-F238E27FC236}">
              <a16:creationId xmlns:a16="http://schemas.microsoft.com/office/drawing/2014/main" id="{6C991BF0-CE6D-4300-9002-FE6BD0E5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314960</xdr:colOff>
      <xdr:row>8</xdr:row>
      <xdr:rowOff>55880</xdr:rowOff>
    </xdr:from>
    <xdr:to>
      <xdr:col>2</xdr:col>
      <xdr:colOff>1066800</xdr:colOff>
      <xdr:row>17</xdr:row>
      <xdr:rowOff>71120</xdr:rowOff>
    </xdr:to>
    <xdr:sp macro="" textlink="">
      <xdr:nvSpPr>
        <xdr:cNvPr id="1047" name="LaminateViewer">
          <a:extLst>
            <a:ext uri="{FF2B5EF4-FFF2-40B4-BE49-F238E27FC236}">
              <a16:creationId xmlns:a16="http://schemas.microsoft.com/office/drawing/2014/main" id="{64FBC3FD-394B-4F76-A179-867097253400}"/>
            </a:ext>
          </a:extLst>
        </xdr:cNvPr>
        <xdr:cNvSpPr/>
      </xdr:nvSpPr>
      <xdr:spPr>
        <a:xfrm>
          <a:off x="314960" y="1770380"/>
          <a:ext cx="2413000" cy="1638300"/>
        </a:xfrm>
        <a:prstGeom prst="rect">
          <a:avLst/>
        </a:prstGeom>
        <a:noFill/>
        <a:ln w="254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2</xdr:col>
      <xdr:colOff>939800</xdr:colOff>
      <xdr:row>9</xdr:row>
      <xdr:rowOff>177800</xdr:rowOff>
    </xdr:to>
    <xdr:sp macro="" textlink="">
      <xdr:nvSpPr>
        <xdr:cNvPr id="1048" name="LaminatePly0">
          <a:extLst>
            <a:ext uri="{FF2B5EF4-FFF2-40B4-BE49-F238E27FC236}">
              <a16:creationId xmlns:a16="http://schemas.microsoft.com/office/drawing/2014/main" id="{62A06A89-E1D0-0528-FBC3-7B4340ECD2FC}"/>
            </a:ext>
          </a:extLst>
        </xdr:cNvPr>
        <xdr:cNvSpPr/>
      </xdr:nvSpPr>
      <xdr:spPr>
        <a:xfrm>
          <a:off x="441960" y="1897380"/>
          <a:ext cx="2159000" cy="17780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42°</a:t>
          </a:r>
        </a:p>
      </xdr:txBody>
    </xdr:sp>
    <xdr:clientData/>
  </xdr:twoCellAnchor>
  <xdr:twoCellAnchor>
    <xdr:from>
      <xdr:col>1</xdr:col>
      <xdr:colOff>0</xdr:colOff>
      <xdr:row>9</xdr:row>
      <xdr:rowOff>177800</xdr:rowOff>
    </xdr:from>
    <xdr:to>
      <xdr:col>2</xdr:col>
      <xdr:colOff>939800</xdr:colOff>
      <xdr:row>10</xdr:row>
      <xdr:rowOff>172720</xdr:rowOff>
    </xdr:to>
    <xdr:sp macro="" textlink="">
      <xdr:nvSpPr>
        <xdr:cNvPr id="1049" name="LaminatePly1">
          <a:extLst>
            <a:ext uri="{FF2B5EF4-FFF2-40B4-BE49-F238E27FC236}">
              <a16:creationId xmlns:a16="http://schemas.microsoft.com/office/drawing/2014/main" id="{A9E6B53D-EEC9-E121-5AED-E4EBF469721B}"/>
            </a:ext>
          </a:extLst>
        </xdr:cNvPr>
        <xdr:cNvSpPr/>
      </xdr:nvSpPr>
      <xdr:spPr>
        <a:xfrm>
          <a:off x="441960" y="2075180"/>
          <a:ext cx="2159000" cy="17780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-42°</a:t>
          </a:r>
        </a:p>
      </xdr:txBody>
    </xdr:sp>
    <xdr:clientData/>
  </xdr:twoCellAnchor>
  <xdr:twoCellAnchor>
    <xdr:from>
      <xdr:col>1</xdr:col>
      <xdr:colOff>0</xdr:colOff>
      <xdr:row>10</xdr:row>
      <xdr:rowOff>172720</xdr:rowOff>
    </xdr:from>
    <xdr:to>
      <xdr:col>2</xdr:col>
      <xdr:colOff>939800</xdr:colOff>
      <xdr:row>11</xdr:row>
      <xdr:rowOff>167640</xdr:rowOff>
    </xdr:to>
    <xdr:sp macro="" textlink="">
      <xdr:nvSpPr>
        <xdr:cNvPr id="1050" name="LaminatePly2">
          <a:extLst>
            <a:ext uri="{FF2B5EF4-FFF2-40B4-BE49-F238E27FC236}">
              <a16:creationId xmlns:a16="http://schemas.microsoft.com/office/drawing/2014/main" id="{61853C1A-E72F-BBFF-FA5E-573CE0B9DEC7}"/>
            </a:ext>
          </a:extLst>
        </xdr:cNvPr>
        <xdr:cNvSpPr/>
      </xdr:nvSpPr>
      <xdr:spPr>
        <a:xfrm>
          <a:off x="441960" y="2252980"/>
          <a:ext cx="2159000" cy="17780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41°</a:t>
          </a:r>
        </a:p>
      </xdr:txBody>
    </xdr:sp>
    <xdr:clientData/>
  </xdr:twoCellAnchor>
  <xdr:twoCellAnchor>
    <xdr:from>
      <xdr:col>1</xdr:col>
      <xdr:colOff>0</xdr:colOff>
      <xdr:row>11</xdr:row>
      <xdr:rowOff>167640</xdr:rowOff>
    </xdr:from>
    <xdr:to>
      <xdr:col>2</xdr:col>
      <xdr:colOff>939800</xdr:colOff>
      <xdr:row>12</xdr:row>
      <xdr:rowOff>162560</xdr:rowOff>
    </xdr:to>
    <xdr:sp macro="" textlink="">
      <xdr:nvSpPr>
        <xdr:cNvPr id="1051" name="LaminatePly3">
          <a:extLst>
            <a:ext uri="{FF2B5EF4-FFF2-40B4-BE49-F238E27FC236}">
              <a16:creationId xmlns:a16="http://schemas.microsoft.com/office/drawing/2014/main" id="{979B5FC9-6C14-706A-2F28-8AFC266CDD5A}"/>
            </a:ext>
          </a:extLst>
        </xdr:cNvPr>
        <xdr:cNvSpPr/>
      </xdr:nvSpPr>
      <xdr:spPr>
        <a:xfrm>
          <a:off x="441960" y="2430780"/>
          <a:ext cx="2159000" cy="17780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-41°</a:t>
          </a:r>
        </a:p>
      </xdr:txBody>
    </xdr:sp>
    <xdr:clientData/>
  </xdr:twoCellAnchor>
  <xdr:twoCellAnchor>
    <xdr:from>
      <xdr:col>1</xdr:col>
      <xdr:colOff>0</xdr:colOff>
      <xdr:row>12</xdr:row>
      <xdr:rowOff>162560</xdr:rowOff>
    </xdr:from>
    <xdr:to>
      <xdr:col>2</xdr:col>
      <xdr:colOff>939800</xdr:colOff>
      <xdr:row>13</xdr:row>
      <xdr:rowOff>138430</xdr:rowOff>
    </xdr:to>
    <xdr:sp macro="" textlink="">
      <xdr:nvSpPr>
        <xdr:cNvPr id="1052" name="LaminatePly4">
          <a:extLst>
            <a:ext uri="{FF2B5EF4-FFF2-40B4-BE49-F238E27FC236}">
              <a16:creationId xmlns:a16="http://schemas.microsoft.com/office/drawing/2014/main" id="{86DC318B-8436-E798-6D3D-6180D8707334}"/>
            </a:ext>
          </a:extLst>
        </xdr:cNvPr>
        <xdr:cNvSpPr/>
      </xdr:nvSpPr>
      <xdr:spPr>
        <a:xfrm>
          <a:off x="441960" y="2608580"/>
          <a:ext cx="2159000" cy="158750"/>
        </a:xfrm>
        <a:prstGeom prst="rect">
          <a:avLst/>
        </a:prstGeom>
        <a:solidFill>
          <a:srgbClr val="50B4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53°</a:t>
          </a:r>
        </a:p>
      </xdr:txBody>
    </xdr:sp>
    <xdr:clientData/>
  </xdr:twoCellAnchor>
  <xdr:twoCellAnchor>
    <xdr:from>
      <xdr:col>1</xdr:col>
      <xdr:colOff>0</xdr:colOff>
      <xdr:row>13</xdr:row>
      <xdr:rowOff>138430</xdr:rowOff>
    </xdr:from>
    <xdr:to>
      <xdr:col>2</xdr:col>
      <xdr:colOff>939800</xdr:colOff>
      <xdr:row>14</xdr:row>
      <xdr:rowOff>114300</xdr:rowOff>
    </xdr:to>
    <xdr:sp macro="" textlink="">
      <xdr:nvSpPr>
        <xdr:cNvPr id="1053" name="LaminatePly5">
          <a:extLst>
            <a:ext uri="{FF2B5EF4-FFF2-40B4-BE49-F238E27FC236}">
              <a16:creationId xmlns:a16="http://schemas.microsoft.com/office/drawing/2014/main" id="{5F57D482-F03F-70D5-5FCD-F9D6AE4852F8}"/>
            </a:ext>
          </a:extLst>
        </xdr:cNvPr>
        <xdr:cNvSpPr/>
      </xdr:nvSpPr>
      <xdr:spPr>
        <a:xfrm>
          <a:off x="441960" y="2767330"/>
          <a:ext cx="2159000" cy="158750"/>
        </a:xfrm>
        <a:prstGeom prst="rect">
          <a:avLst/>
        </a:prstGeom>
        <a:solidFill>
          <a:srgbClr val="50B4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-53°</a:t>
          </a:r>
        </a:p>
      </xdr:txBody>
    </xdr:sp>
    <xdr:clientData/>
  </xdr:twoCellAnchor>
  <xdr:twoCellAnchor>
    <xdr:from>
      <xdr:col>1</xdr:col>
      <xdr:colOff>0</xdr:colOff>
      <xdr:row>14</xdr:row>
      <xdr:rowOff>114300</xdr:rowOff>
    </xdr:from>
    <xdr:to>
      <xdr:col>2</xdr:col>
      <xdr:colOff>939800</xdr:colOff>
      <xdr:row>15</xdr:row>
      <xdr:rowOff>109220</xdr:rowOff>
    </xdr:to>
    <xdr:sp macro="" textlink="">
      <xdr:nvSpPr>
        <xdr:cNvPr id="1054" name="LaminatePly6">
          <a:extLst>
            <a:ext uri="{FF2B5EF4-FFF2-40B4-BE49-F238E27FC236}">
              <a16:creationId xmlns:a16="http://schemas.microsoft.com/office/drawing/2014/main" id="{BCD3C9F2-5042-A50A-9105-12E55B57E9CA}"/>
            </a:ext>
          </a:extLst>
        </xdr:cNvPr>
        <xdr:cNvSpPr/>
      </xdr:nvSpPr>
      <xdr:spPr>
        <a:xfrm>
          <a:off x="441960" y="2926080"/>
          <a:ext cx="2159000" cy="177800"/>
        </a:xfrm>
        <a:prstGeom prst="rect">
          <a:avLst/>
        </a:prstGeom>
        <a:solidFill>
          <a:srgbClr val="8C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68°</a:t>
          </a:r>
        </a:p>
      </xdr:txBody>
    </xdr:sp>
    <xdr:clientData/>
  </xdr:twoCellAnchor>
  <xdr:twoCellAnchor>
    <xdr:from>
      <xdr:col>1</xdr:col>
      <xdr:colOff>0</xdr:colOff>
      <xdr:row>15</xdr:row>
      <xdr:rowOff>109220</xdr:rowOff>
    </xdr:from>
    <xdr:to>
      <xdr:col>2</xdr:col>
      <xdr:colOff>939800</xdr:colOff>
      <xdr:row>16</xdr:row>
      <xdr:rowOff>119380</xdr:rowOff>
    </xdr:to>
    <xdr:sp macro="" textlink="">
      <xdr:nvSpPr>
        <xdr:cNvPr id="1055" name="LaminatePly7">
          <a:extLst>
            <a:ext uri="{FF2B5EF4-FFF2-40B4-BE49-F238E27FC236}">
              <a16:creationId xmlns:a16="http://schemas.microsoft.com/office/drawing/2014/main" id="{BC3A714C-3022-8056-4C48-3F7D06C0FC53}"/>
            </a:ext>
          </a:extLst>
        </xdr:cNvPr>
        <xdr:cNvSpPr/>
      </xdr:nvSpPr>
      <xdr:spPr>
        <a:xfrm>
          <a:off x="441960" y="3103880"/>
          <a:ext cx="2159000" cy="177800"/>
        </a:xfrm>
        <a:prstGeom prst="rect">
          <a:avLst/>
        </a:prstGeom>
        <a:solidFill>
          <a:srgbClr val="8C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-68°</a:t>
          </a:r>
        </a:p>
      </xdr:txBody>
    </xdr:sp>
    <xdr:clientData/>
  </xdr:twoCellAnchor>
  <xdr:twoCellAnchor>
    <xdr:from>
      <xdr:col>1</xdr:col>
      <xdr:colOff>0</xdr:colOff>
      <xdr:row>16</xdr:row>
      <xdr:rowOff>119380</xdr:rowOff>
    </xdr:from>
    <xdr:to>
      <xdr:col>2</xdr:col>
      <xdr:colOff>939800</xdr:colOff>
      <xdr:row>16</xdr:row>
      <xdr:rowOff>119380</xdr:rowOff>
    </xdr:to>
    <xdr:sp macro="" textlink="">
      <xdr:nvSpPr>
        <xdr:cNvPr id="1056" name="LaminatePly8">
          <a:extLst>
            <a:ext uri="{FF2B5EF4-FFF2-40B4-BE49-F238E27FC236}">
              <a16:creationId xmlns:a16="http://schemas.microsoft.com/office/drawing/2014/main" id="{F3840983-F3A5-CF3D-23C7-A6E7248CAB47}"/>
            </a:ext>
          </a:extLst>
        </xdr:cNvPr>
        <xdr:cNvSpPr/>
      </xdr:nvSpPr>
      <xdr:spPr>
        <a:xfrm>
          <a:off x="441960" y="3281680"/>
          <a:ext cx="2159000" cy="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89°</a:t>
          </a:r>
        </a:p>
      </xdr:txBody>
    </xdr:sp>
    <xdr:clientData/>
  </xdr:twoCellAnchor>
  <xdr:twoCellAnchor>
    <xdr:from>
      <xdr:col>1</xdr:col>
      <xdr:colOff>0</xdr:colOff>
      <xdr:row>16</xdr:row>
      <xdr:rowOff>119380</xdr:rowOff>
    </xdr:from>
    <xdr:to>
      <xdr:col>2</xdr:col>
      <xdr:colOff>939800</xdr:colOff>
      <xdr:row>16</xdr:row>
      <xdr:rowOff>119380</xdr:rowOff>
    </xdr:to>
    <xdr:sp macro="" textlink="">
      <xdr:nvSpPr>
        <xdr:cNvPr id="1057" name="LaminatePly9">
          <a:extLst>
            <a:ext uri="{FF2B5EF4-FFF2-40B4-BE49-F238E27FC236}">
              <a16:creationId xmlns:a16="http://schemas.microsoft.com/office/drawing/2014/main" id="{5B0DC9C9-9B46-1FE3-D871-3B8152ABB738}"/>
            </a:ext>
          </a:extLst>
        </xdr:cNvPr>
        <xdr:cNvSpPr/>
      </xdr:nvSpPr>
      <xdr:spPr>
        <a:xfrm>
          <a:off x="441960" y="3281680"/>
          <a:ext cx="2159000" cy="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-89°</a:t>
          </a:r>
        </a:p>
      </xdr:txBody>
    </xdr:sp>
    <xdr:clientData/>
  </xdr:twoCellAnchor>
  <xdr:twoCellAnchor>
    <xdr:from>
      <xdr:col>1</xdr:col>
      <xdr:colOff>0</xdr:colOff>
      <xdr:row>16</xdr:row>
      <xdr:rowOff>119380</xdr:rowOff>
    </xdr:from>
    <xdr:to>
      <xdr:col>2</xdr:col>
      <xdr:colOff>939800</xdr:colOff>
      <xdr:row>16</xdr:row>
      <xdr:rowOff>119380</xdr:rowOff>
    </xdr:to>
    <xdr:sp macro="" textlink="">
      <xdr:nvSpPr>
        <xdr:cNvPr id="1058" name="LaminatePly10">
          <a:extLst>
            <a:ext uri="{FF2B5EF4-FFF2-40B4-BE49-F238E27FC236}">
              <a16:creationId xmlns:a16="http://schemas.microsoft.com/office/drawing/2014/main" id="{712778AB-FF51-945B-3775-837D44EF95A6}"/>
            </a:ext>
          </a:extLst>
        </xdr:cNvPr>
        <xdr:cNvSpPr/>
      </xdr:nvSpPr>
      <xdr:spPr>
        <a:xfrm>
          <a:off x="441960" y="328168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  <xdr:twoCellAnchor>
    <xdr:from>
      <xdr:col>1</xdr:col>
      <xdr:colOff>0</xdr:colOff>
      <xdr:row>16</xdr:row>
      <xdr:rowOff>119380</xdr:rowOff>
    </xdr:from>
    <xdr:to>
      <xdr:col>2</xdr:col>
      <xdr:colOff>939800</xdr:colOff>
      <xdr:row>16</xdr:row>
      <xdr:rowOff>119380</xdr:rowOff>
    </xdr:to>
    <xdr:sp macro="" textlink="">
      <xdr:nvSpPr>
        <xdr:cNvPr id="1059" name="LaminatePly11">
          <a:extLst>
            <a:ext uri="{FF2B5EF4-FFF2-40B4-BE49-F238E27FC236}">
              <a16:creationId xmlns:a16="http://schemas.microsoft.com/office/drawing/2014/main" id="{3498592C-E19A-137D-235B-6A586B5AEC7A}"/>
            </a:ext>
          </a:extLst>
        </xdr:cNvPr>
        <xdr:cNvSpPr/>
      </xdr:nvSpPr>
      <xdr:spPr>
        <a:xfrm>
          <a:off x="441960" y="328168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43542</xdr:colOff>
      <xdr:row>2</xdr:row>
      <xdr:rowOff>26991</xdr:rowOff>
    </xdr:from>
    <xdr:to>
      <xdr:col>12</xdr:col>
      <xdr:colOff>554082</xdr:colOff>
      <xdr:row>11</xdr:row>
      <xdr:rowOff>160529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3F052C-B6DD-7431-7874-A74547263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7942" y="647477"/>
          <a:ext cx="3362597" cy="1799052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</xdr:row>
      <xdr:rowOff>0</xdr:rowOff>
    </xdr:from>
    <xdr:to>
      <xdr:col>8</xdr:col>
      <xdr:colOff>304800</xdr:colOff>
      <xdr:row>14</xdr:row>
      <xdr:rowOff>121920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88541F85-08FA-36B7-5434-4BD0613CD022}"/>
            </a:ext>
          </a:extLst>
        </xdr:cNvPr>
        <xdr:cNvSpPr>
          <a:spLocks noChangeAspect="1" noChangeArrowheads="1"/>
        </xdr:cNvSpPr>
      </xdr:nvSpPr>
      <xdr:spPr bwMode="auto">
        <a:xfrm>
          <a:off x="853440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13</xdr:row>
      <xdr:rowOff>0</xdr:rowOff>
    </xdr:from>
    <xdr:to>
      <xdr:col>11</xdr:col>
      <xdr:colOff>304800</xdr:colOff>
      <xdr:row>14</xdr:row>
      <xdr:rowOff>121920</xdr:rowOff>
    </xdr:to>
    <xdr:sp macro="" textlink="">
      <xdr:nvSpPr>
        <xdr:cNvPr id="4098" name="AutoShape 2">
          <a:extLst>
            <a:ext uri="{FF2B5EF4-FFF2-40B4-BE49-F238E27FC236}">
              <a16:creationId xmlns:a16="http://schemas.microsoft.com/office/drawing/2014/main" id="{7FB1E0FE-2E3C-0326-C879-270D7A29F58B}"/>
            </a:ext>
          </a:extLst>
        </xdr:cNvPr>
        <xdr:cNvSpPr>
          <a:spLocks noChangeAspect="1" noChangeArrowheads="1"/>
        </xdr:cNvSpPr>
      </xdr:nvSpPr>
      <xdr:spPr bwMode="auto">
        <a:xfrm>
          <a:off x="1061466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5A093-E745-44B9-AB5F-267E1DA78838}">
  <sheetPr codeName="Sheet1"/>
  <dimension ref="A1:BI213"/>
  <sheetViews>
    <sheetView tabSelected="1" zoomScale="60" zoomScaleNormal="60" workbookViewId="0">
      <selection activeCell="H1" sqref="H1"/>
    </sheetView>
  </sheetViews>
  <sheetFormatPr defaultRowHeight="14.4" x14ac:dyDescent="0.3"/>
  <cols>
    <col min="1" max="1" width="6.44140625" customWidth="1"/>
    <col min="2" max="7" width="17.77734375" customWidth="1"/>
    <col min="12" max="12" width="9.21875" customWidth="1"/>
    <col min="13" max="13" width="9" customWidth="1"/>
    <col min="14" max="14" width="11.33203125" customWidth="1"/>
    <col min="15" max="16" width="12.88671875" customWidth="1"/>
    <col min="17" max="17" width="12.77734375" customWidth="1"/>
    <col min="18" max="18" width="8.88671875" customWidth="1"/>
    <col min="19" max="19" width="11.5546875" bestFit="1" customWidth="1"/>
    <col min="20" max="20" width="10.5546875" bestFit="1" customWidth="1"/>
    <col min="21" max="21" width="11.44140625" customWidth="1"/>
    <col min="22" max="22" width="11.109375" customWidth="1"/>
    <col min="23" max="24" width="9" bestFit="1" customWidth="1"/>
    <col min="25" max="25" width="9.21875" bestFit="1" customWidth="1"/>
    <col min="27" max="27" width="10.21875" bestFit="1" customWidth="1"/>
    <col min="28" max="28" width="9.5546875" bestFit="1" customWidth="1"/>
    <col min="29" max="29" width="10.21875" bestFit="1" customWidth="1"/>
    <col min="31" max="31" width="11.109375" bestFit="1" customWidth="1"/>
    <col min="32" max="32" width="9.5546875" bestFit="1" customWidth="1"/>
    <col min="33" max="33" width="10.5546875" bestFit="1" customWidth="1"/>
    <col min="35" max="35" width="11.109375" customWidth="1"/>
    <col min="36" max="36" width="12.5546875" customWidth="1"/>
    <col min="37" max="37" width="12.109375" customWidth="1"/>
    <col min="42" max="47" width="4.33203125" customWidth="1"/>
    <col min="48" max="48" width="9.5546875" customWidth="1"/>
    <col min="49" max="49" width="8.6640625" customWidth="1"/>
    <col min="50" max="50" width="9" customWidth="1"/>
    <col min="51" max="51" width="4.33203125" customWidth="1"/>
    <col min="52" max="52" width="9.109375" customWidth="1"/>
    <col min="53" max="53" width="7.6640625" customWidth="1"/>
    <col min="54" max="54" width="8" customWidth="1"/>
    <col min="55" max="101" width="4.33203125" customWidth="1"/>
  </cols>
  <sheetData>
    <row r="1" spans="2:54" ht="33.6" thickBot="1" x14ac:dyDescent="0.7">
      <c r="B1" s="81" t="s">
        <v>106</v>
      </c>
      <c r="C1" s="81"/>
      <c r="D1" s="81"/>
      <c r="E1" s="81"/>
      <c r="F1" s="81"/>
      <c r="G1" s="81"/>
      <c r="H1" s="55" t="s">
        <v>16</v>
      </c>
      <c r="I1" s="55"/>
      <c r="J1" s="55"/>
      <c r="K1" s="55"/>
      <c r="L1" s="55"/>
      <c r="M1" s="55"/>
      <c r="N1" s="55"/>
    </row>
    <row r="2" spans="2:54" ht="15" thickTop="1" x14ac:dyDescent="0.3">
      <c r="I2" s="82" t="s">
        <v>39</v>
      </c>
      <c r="J2" s="83"/>
      <c r="L2" s="61"/>
      <c r="M2" s="62"/>
      <c r="AV2" s="11"/>
      <c r="AW2" s="11"/>
      <c r="AX2" s="11"/>
      <c r="AZ2" s="11"/>
      <c r="BA2" s="11"/>
      <c r="BB2" s="11"/>
    </row>
    <row r="3" spans="2:54" x14ac:dyDescent="0.3">
      <c r="B3" s="69" t="s">
        <v>76</v>
      </c>
      <c r="C3" s="69"/>
      <c r="D3" s="69"/>
      <c r="F3" s="69" t="s">
        <v>77</v>
      </c>
      <c r="G3" s="69"/>
      <c r="I3" s="84" t="s">
        <v>40</v>
      </c>
      <c r="J3" s="85"/>
      <c r="L3" s="63"/>
      <c r="M3" s="64"/>
      <c r="R3" s="27"/>
      <c r="AW3" s="15"/>
      <c r="AX3" s="49"/>
      <c r="BA3" s="15"/>
      <c r="BB3" s="49"/>
    </row>
    <row r="4" spans="2:54" x14ac:dyDescent="0.3">
      <c r="B4" s="20" t="s">
        <v>14</v>
      </c>
      <c r="C4" s="20" t="s">
        <v>44</v>
      </c>
      <c r="D4" s="20" t="s">
        <v>45</v>
      </c>
      <c r="F4" s="20" t="s">
        <v>65</v>
      </c>
      <c r="G4" s="20" t="s">
        <v>64</v>
      </c>
      <c r="I4" s="77" t="s">
        <v>41</v>
      </c>
      <c r="J4" s="78"/>
      <c r="L4" s="63"/>
      <c r="M4" s="64"/>
      <c r="S4" s="11"/>
      <c r="T4" s="11"/>
      <c r="U4" s="11"/>
      <c r="AV4" s="46"/>
      <c r="AZ4" s="46"/>
    </row>
    <row r="5" spans="2:54" x14ac:dyDescent="0.3">
      <c r="B5" s="5">
        <v>850</v>
      </c>
      <c r="C5" s="5">
        <f>B5*G5/4</f>
        <v>1276.0625</v>
      </c>
      <c r="D5" s="5">
        <f>B5*G5/2</f>
        <v>2552.125</v>
      </c>
      <c r="F5" s="1">
        <v>44.3</v>
      </c>
      <c r="G5" s="1">
        <v>6.0049999999999999</v>
      </c>
      <c r="I5" s="79" t="s">
        <v>42</v>
      </c>
      <c r="J5" s="80"/>
      <c r="L5" s="65"/>
      <c r="M5" s="66"/>
      <c r="AV5" s="46"/>
      <c r="AZ5" s="46"/>
    </row>
    <row r="6" spans="2:54" x14ac:dyDescent="0.3">
      <c r="B6" s="30" t="s">
        <v>12</v>
      </c>
      <c r="C6" s="30" t="s">
        <v>66</v>
      </c>
      <c r="D6" s="30" t="s">
        <v>66</v>
      </c>
      <c r="O6" s="69" t="s">
        <v>95</v>
      </c>
      <c r="P6" s="69"/>
      <c r="Q6" s="69"/>
      <c r="V6" s="11"/>
      <c r="W6" s="11"/>
      <c r="AV6" s="46"/>
      <c r="AZ6" s="46"/>
    </row>
    <row r="7" spans="2:54" x14ac:dyDescent="0.3">
      <c r="D7" s="69" t="s">
        <v>75</v>
      </c>
      <c r="E7" s="69"/>
      <c r="F7" s="69"/>
      <c r="G7" s="69"/>
      <c r="I7" s="69" t="s">
        <v>89</v>
      </c>
      <c r="J7" s="69"/>
      <c r="K7" s="27"/>
      <c r="L7" s="69" t="s">
        <v>90</v>
      </c>
      <c r="M7" s="69"/>
      <c r="N7" s="27"/>
      <c r="O7" s="74" t="s">
        <v>91</v>
      </c>
      <c r="P7" s="73" t="s">
        <v>97</v>
      </c>
      <c r="Q7" s="73"/>
      <c r="AV7" s="46"/>
      <c r="AZ7" s="46"/>
    </row>
    <row r="8" spans="2:54" x14ac:dyDescent="0.3">
      <c r="B8" s="76" t="s">
        <v>99</v>
      </c>
      <c r="C8" s="76"/>
      <c r="D8" s="20" t="s">
        <v>13</v>
      </c>
      <c r="E8" s="20" t="s">
        <v>0</v>
      </c>
      <c r="F8" s="20" t="s">
        <v>25</v>
      </c>
      <c r="G8" s="43" t="s">
        <v>17</v>
      </c>
      <c r="I8" s="20" t="s">
        <v>85</v>
      </c>
      <c r="J8" s="20" t="s">
        <v>86</v>
      </c>
      <c r="L8" s="20" t="s">
        <v>82</v>
      </c>
      <c r="M8" s="20" t="s">
        <v>83</v>
      </c>
      <c r="O8" s="75"/>
      <c r="P8" s="58" t="s">
        <v>96</v>
      </c>
      <c r="Q8" s="58" t="s">
        <v>98</v>
      </c>
      <c r="R8" s="20"/>
      <c r="S8" s="11"/>
      <c r="T8" s="11"/>
      <c r="U8" s="11"/>
      <c r="AV8" s="46"/>
      <c r="AZ8" s="46"/>
    </row>
    <row r="9" spans="2:54" x14ac:dyDescent="0.3">
      <c r="D9" s="42">
        <v>1</v>
      </c>
      <c r="E9" s="1">
        <v>1</v>
      </c>
      <c r="F9" s="44">
        <v>42.4</v>
      </c>
      <c r="G9" s="7">
        <v>0.5</v>
      </c>
      <c r="I9" s="56">
        <f>I34</f>
        <v>8.1242789371693792E-4</v>
      </c>
      <c r="J9" s="56">
        <f>J34</f>
        <v>9.7442579466856165E-4</v>
      </c>
      <c r="L9" s="57">
        <f>I32</f>
        <v>20672.340481157189</v>
      </c>
      <c r="M9" s="57">
        <f>J32</f>
        <v>1722.110182065423</v>
      </c>
      <c r="O9" s="29">
        <f>1/SQRT((L9/M34)^2-(L9*M9/M34^2)+(M9/N34)^2+(K34/O34)^2)</f>
        <v>3.6660693530773871</v>
      </c>
      <c r="P9" s="29">
        <f>1/SQRT((L9/M34)^2+(K34/O34)^2)</f>
        <v>14.754013957803684</v>
      </c>
      <c r="Q9" s="29">
        <f>1/SQRT((M9/N34)^2+(K34/O34)^2)</f>
        <v>3.7744390966920811</v>
      </c>
      <c r="AV9" s="46"/>
      <c r="AZ9" s="46"/>
    </row>
    <row r="10" spans="2:54" x14ac:dyDescent="0.3">
      <c r="D10" s="42">
        <v>2</v>
      </c>
      <c r="E10" s="1">
        <v>1</v>
      </c>
      <c r="F10" s="44">
        <f>-F9</f>
        <v>-42.4</v>
      </c>
      <c r="G10" s="7">
        <f>G9</f>
        <v>0.5</v>
      </c>
      <c r="I10" s="56">
        <f>I38</f>
        <v>8.1242789371693792E-4</v>
      </c>
      <c r="J10" s="56">
        <f>J38</f>
        <v>9.7442579466856165E-4</v>
      </c>
      <c r="L10" s="57">
        <f>I36</f>
        <v>20672.340481157189</v>
      </c>
      <c r="M10" s="57">
        <f>J36</f>
        <v>1722.110182065423</v>
      </c>
      <c r="O10" s="29">
        <f>1/SQRT((L10/M38)^2-(L10*M10/M38^2)+(M10/N38)^2+(K38/O38)^2)</f>
        <v>3.6660693530773871</v>
      </c>
      <c r="P10" s="29">
        <f>1/SQRT((L10/M38)^2+(K38/O38)^2)</f>
        <v>14.754013957803684</v>
      </c>
      <c r="Q10" s="29">
        <f>1/SQRT((M10/N38)^2+(K38/O38)^2)</f>
        <v>3.7744390966920811</v>
      </c>
      <c r="V10" s="11"/>
      <c r="AV10" s="46"/>
      <c r="AZ10" s="46"/>
    </row>
    <row r="11" spans="2:54" x14ac:dyDescent="0.3">
      <c r="D11" s="42">
        <v>3</v>
      </c>
      <c r="E11" s="1">
        <v>1</v>
      </c>
      <c r="F11" s="44">
        <v>40.507814448481277</v>
      </c>
      <c r="G11" s="7">
        <v>0.5</v>
      </c>
      <c r="I11" s="56">
        <f>I42</f>
        <v>7.5386108911843169E-4</v>
      </c>
      <c r="J11" s="56">
        <f>J42</f>
        <v>1.0329925992670682E-3</v>
      </c>
      <c r="L11" s="57">
        <f>I40</f>
        <v>19222.783381557521</v>
      </c>
      <c r="M11" s="57">
        <f>J40</f>
        <v>1791.6959695082271</v>
      </c>
      <c r="O11" s="29">
        <f>1/SQRT((L11/M42)^2-(L11*M11/M36^2)+(M11/N42)^2+(K42/O36)^2)</f>
        <v>3.5350191560289526</v>
      </c>
      <c r="P11" s="29">
        <f>1/SQRT((L11/M42)^2+(K42/O42)^2)</f>
        <v>15.866588825633267</v>
      </c>
      <c r="Q11" s="29">
        <f>1/SQRT((M11/N42)^2+(K42/O42)^2)</f>
        <v>3.6278476430258397</v>
      </c>
      <c r="AV11" s="46"/>
      <c r="AZ11" s="46"/>
    </row>
    <row r="12" spans="2:54" x14ac:dyDescent="0.3">
      <c r="D12" s="42">
        <v>4</v>
      </c>
      <c r="E12" s="1">
        <v>1</v>
      </c>
      <c r="F12" s="44">
        <f>-F11</f>
        <v>-40.507814448481277</v>
      </c>
      <c r="G12" s="7">
        <f>G11</f>
        <v>0.5</v>
      </c>
      <c r="I12" s="56">
        <f>I46</f>
        <v>7.5386108911843169E-4</v>
      </c>
      <c r="J12" s="56">
        <f>J46</f>
        <v>1.0329925992670682E-3</v>
      </c>
      <c r="L12" s="57">
        <f>I44</f>
        <v>19222.783381557521</v>
      </c>
      <c r="M12" s="57">
        <f>J44</f>
        <v>1791.6959695082271</v>
      </c>
      <c r="O12" s="29">
        <f>1/SQRT((L12/M46)^2-(L12*M12/M46^2)+(M12/N46)^2+(K46/O46)^2)</f>
        <v>3.5447970778557725</v>
      </c>
      <c r="P12" s="29">
        <f>1/SQRT((L12/M46)^2+(K46/O46)^2)</f>
        <v>15.866588825633267</v>
      </c>
      <c r="Q12" s="29">
        <f>1/SQRT((M12/N46)^2+(K46/O46)^2)</f>
        <v>3.6278476430258397</v>
      </c>
      <c r="AV12" s="46"/>
      <c r="AZ12" s="46"/>
    </row>
    <row r="13" spans="2:54" x14ac:dyDescent="0.3">
      <c r="D13" s="42">
        <v>5</v>
      </c>
      <c r="E13" s="1">
        <v>1</v>
      </c>
      <c r="F13" s="44">
        <v>52.504721744195514</v>
      </c>
      <c r="G13" s="7">
        <v>0.44</v>
      </c>
      <c r="I13" s="56">
        <f>I50</f>
        <v>1.124877455347554E-3</v>
      </c>
      <c r="J13" s="56">
        <f>J50</f>
        <v>6.6197623303794549E-4</v>
      </c>
      <c r="L13" s="57">
        <f>I48</f>
        <v>28405.620168060494</v>
      </c>
      <c r="M13" s="57">
        <f>J48</f>
        <v>1350.8751636744805</v>
      </c>
      <c r="O13" s="29">
        <f>1/SQRT((L13/M50)^2-(L13*M13/M50^2)+(M13/N50)^2+(K50/O50)^2)</f>
        <v>4.4085243175832725</v>
      </c>
      <c r="P13" s="29">
        <f>1/SQRT((L13/M50)^2+(K50/O50)^2)</f>
        <v>10.73731177827538</v>
      </c>
      <c r="Q13" s="29">
        <f>1/SQRT((M13/N50)^2+(K50/O50)^2)</f>
        <v>4.8116955398886558</v>
      </c>
      <c r="AV13" s="46"/>
      <c r="AZ13" s="46"/>
    </row>
    <row r="14" spans="2:54" x14ac:dyDescent="0.3">
      <c r="D14" s="42">
        <v>6</v>
      </c>
      <c r="E14" s="1">
        <v>1</v>
      </c>
      <c r="F14" s="44">
        <f>-F13</f>
        <v>-52.504721744195514</v>
      </c>
      <c r="G14" s="7">
        <f>G13</f>
        <v>0.44</v>
      </c>
      <c r="I14" s="56">
        <f>I54</f>
        <v>1.124877455347554E-3</v>
      </c>
      <c r="J14" s="56">
        <f>J54</f>
        <v>6.6197623303794549E-4</v>
      </c>
      <c r="L14" s="57">
        <f>I52</f>
        <v>28405.620168060494</v>
      </c>
      <c r="M14" s="57">
        <f>J52</f>
        <v>1350.8751636744805</v>
      </c>
      <c r="O14" s="29">
        <f>1/SQRT((L14/M54)^2-(L14*M14/M54^2)+(M14/N54)^2+(K54/O54)^2)</f>
        <v>4.4085243175832725</v>
      </c>
      <c r="P14" s="29">
        <f>1/SQRT((L14/M54)^2+(K54/O54)^2)</f>
        <v>10.73731177827538</v>
      </c>
      <c r="Q14" s="29">
        <f>1/SQRT((M14/N54)^2+(K54/O54)^2)</f>
        <v>4.8116955398886558</v>
      </c>
      <c r="AV14" s="46"/>
      <c r="AW14" s="49"/>
      <c r="AX14" s="49"/>
      <c r="AZ14" s="46"/>
      <c r="BA14" s="49"/>
      <c r="BB14" s="49"/>
    </row>
    <row r="15" spans="2:54" x14ac:dyDescent="0.3">
      <c r="D15" s="42">
        <v>7</v>
      </c>
      <c r="E15" s="1">
        <v>1</v>
      </c>
      <c r="F15" s="44">
        <v>67.900000000000006</v>
      </c>
      <c r="G15" s="7">
        <v>0.5</v>
      </c>
      <c r="I15" s="56">
        <f>I58</f>
        <v>1.5341347075013573E-3</v>
      </c>
      <c r="J15" s="56">
        <f>J58</f>
        <v>2.5271898088414179E-4</v>
      </c>
      <c r="L15" s="57">
        <f>I56</f>
        <v>38534.937611432295</v>
      </c>
      <c r="M15" s="57">
        <f>J56</f>
        <v>864.61868523025953</v>
      </c>
      <c r="O15" s="29">
        <f>1/SQRT((L15/M58)^2-(L15*M15/M58^2)+(M15/N58)^2+(K58/O58)^2)</f>
        <v>5.4800883414608412</v>
      </c>
      <c r="P15" s="29">
        <f>1/SQRT((L15/M58)^2+(K58/O58)^2)</f>
        <v>7.9148953885795033</v>
      </c>
      <c r="Q15" s="29">
        <f>1/SQRT((M15/N54)^2+(K54/O54)^2)</f>
        <v>7.5177648957079501</v>
      </c>
      <c r="S15" s="20"/>
      <c r="T15" s="20"/>
      <c r="U15" s="20"/>
      <c r="AV15" s="46"/>
      <c r="AW15" s="49"/>
      <c r="AX15" s="49"/>
      <c r="AZ15" s="46"/>
      <c r="BA15" s="49"/>
      <c r="BB15" s="49"/>
    </row>
    <row r="16" spans="2:54" s="11" customFormat="1" ht="13.2" customHeight="1" x14ac:dyDescent="0.3">
      <c r="D16" s="42">
        <v>8</v>
      </c>
      <c r="E16" s="1">
        <v>1</v>
      </c>
      <c r="F16" s="44">
        <f>-F15</f>
        <v>-67.900000000000006</v>
      </c>
      <c r="G16" s="7">
        <f>G15</f>
        <v>0.5</v>
      </c>
      <c r="H16"/>
      <c r="I16" s="56">
        <f>I62</f>
        <v>1.5341347075013573E-3</v>
      </c>
      <c r="J16" s="56">
        <f>J62</f>
        <v>2.5271898088414179E-4</v>
      </c>
      <c r="L16" s="57">
        <f>I60</f>
        <v>38534.937611432295</v>
      </c>
      <c r="M16" s="57">
        <f>J60</f>
        <v>864.61868523025953</v>
      </c>
      <c r="O16" s="29">
        <f>1/SQRT((L16/M62)^2-(L16*M16/M62^2)+(M16/N62)^2+(K62/O62)^2)</f>
        <v>5.4800883414608412</v>
      </c>
      <c r="P16" s="29">
        <f>1/SQRT((L16/M62)^2+(K62/O62)^2)</f>
        <v>7.9148953885795033</v>
      </c>
      <c r="Q16" s="29">
        <f>1/SQRT((M16/N62)^2+(K62/O62)^2)</f>
        <v>7.5177648957094982</v>
      </c>
      <c r="AV16" s="46"/>
      <c r="AW16" s="49"/>
      <c r="AX16" s="49"/>
      <c r="AZ16" s="46"/>
      <c r="BA16" s="49"/>
      <c r="BB16" s="49"/>
    </row>
    <row r="17" spans="1:61" ht="13.8" customHeight="1" x14ac:dyDescent="0.3">
      <c r="D17" s="42">
        <v>9</v>
      </c>
      <c r="E17" s="1">
        <v>0</v>
      </c>
      <c r="F17" s="44">
        <v>89</v>
      </c>
      <c r="G17" s="7">
        <v>0</v>
      </c>
      <c r="I17" s="56">
        <f>I66</f>
        <v>1.7865891918501901E-3</v>
      </c>
      <c r="J17" s="56">
        <f>J66</f>
        <v>2.6449653530960875E-7</v>
      </c>
      <c r="L17" s="57">
        <f>I64</f>
        <v>1.9633720228689924E-3</v>
      </c>
      <c r="M17" s="57">
        <f>J64</f>
        <v>5.8927610339600727E-4</v>
      </c>
      <c r="O17" s="29" t="e">
        <f>1/SQRT((L17/M66)^2-(L17*M17/M66^2)+(M17/N66)^2+(K66/O66)^2)</f>
        <v>#DIV/0!</v>
      </c>
      <c r="P17" s="29" t="e">
        <f>MIN(1/SQRT((L17/M66)^2+(K66/O66)^2),1/SQRT((M17/N66)^2+(K66/O66)^2))</f>
        <v>#DIV/0!</v>
      </c>
      <c r="Q17" s="29" t="e">
        <f>1/SQRT((M17/N66)^2+(K66/O66)^2)</f>
        <v>#DIV/0!</v>
      </c>
      <c r="AV17" s="46"/>
      <c r="AW17" s="49"/>
      <c r="AX17" s="49"/>
      <c r="AZ17" s="46"/>
      <c r="BA17" s="49"/>
      <c r="BB17" s="49"/>
    </row>
    <row r="18" spans="1:61" ht="13.8" customHeight="1" x14ac:dyDescent="0.3">
      <c r="D18" s="42">
        <v>10</v>
      </c>
      <c r="E18" s="1">
        <v>0</v>
      </c>
      <c r="F18" s="44">
        <f>-F17</f>
        <v>-89</v>
      </c>
      <c r="G18" s="7">
        <f>G17</f>
        <v>0</v>
      </c>
      <c r="I18" s="56">
        <f>I70</f>
        <v>1.7865891918501901E-3</v>
      </c>
      <c r="J18" s="56">
        <f>J70</f>
        <v>2.6449653530960875E-7</v>
      </c>
      <c r="L18" s="57">
        <f>I68</f>
        <v>1.9633720228689924E-3</v>
      </c>
      <c r="M18" s="57">
        <f>J68</f>
        <v>5.8927610339600727E-4</v>
      </c>
      <c r="O18" s="29" t="e">
        <f>1/SQRT((L18/M70)^2-(L18*M18/M70^2)+(M18/N70)^2+(K70/O70)^2)</f>
        <v>#DIV/0!</v>
      </c>
      <c r="P18" s="29" t="e">
        <f>MIN(1/SQRT((L18/M70)^2+(K70/O70)^2),1/SQRT((M18/N70)^2+(K70/O70)^2))</f>
        <v>#DIV/0!</v>
      </c>
      <c r="Q18" s="29" t="e">
        <f>1/SQRT((M18/N70)^2+(K70/O70)^2)</f>
        <v>#DIV/0!</v>
      </c>
      <c r="AV18" s="46"/>
      <c r="AW18" s="49"/>
      <c r="AX18" s="49"/>
      <c r="AZ18" s="46"/>
      <c r="BA18" s="49"/>
      <c r="BB18" s="49"/>
    </row>
    <row r="19" spans="1:61" ht="13.8" customHeight="1" x14ac:dyDescent="0.3">
      <c r="D19" s="42">
        <v>11</v>
      </c>
      <c r="E19" s="1">
        <v>0</v>
      </c>
      <c r="F19" s="44">
        <v>0</v>
      </c>
      <c r="G19" s="7">
        <v>0</v>
      </c>
      <c r="H19" s="46"/>
      <c r="I19" s="56">
        <f>I74</f>
        <v>-2.7992548162726269E-7</v>
      </c>
      <c r="J19" s="56">
        <f>J74</f>
        <v>1.7871336138671268E-3</v>
      </c>
      <c r="L19" s="57">
        <f>I72</f>
        <v>5.8885731722913275E-4</v>
      </c>
      <c r="M19" s="57">
        <f>J72</f>
        <v>1.9637908090358665E-3</v>
      </c>
      <c r="O19" s="29" t="e">
        <f>1/SQRT((L19/M74)^2-(L19*M19/M74^2)+(M19/N74)^2+(K74/O74)^2)</f>
        <v>#DIV/0!</v>
      </c>
      <c r="P19" s="29" t="e">
        <f>MIN(1/SQRT((L19/M74)^2+(K74/O74)^2),1/SQRT((M19/N74)^2+(K74/O74)^2))</f>
        <v>#DIV/0!</v>
      </c>
      <c r="Q19" s="29" t="e">
        <f>1/SQRT((M19/N74)^2+(K74/O74)^2)</f>
        <v>#DIV/0!</v>
      </c>
      <c r="AV19" s="46"/>
      <c r="AW19" s="49"/>
      <c r="AX19" s="49"/>
      <c r="AZ19" s="46"/>
      <c r="BA19" s="49"/>
      <c r="BB19" s="49"/>
    </row>
    <row r="20" spans="1:61" ht="13.8" customHeight="1" x14ac:dyDescent="0.3">
      <c r="D20" s="42">
        <v>12</v>
      </c>
      <c r="E20" s="1">
        <v>0</v>
      </c>
      <c r="F20" s="48">
        <f>-F19</f>
        <v>0</v>
      </c>
      <c r="G20" s="7">
        <f>G19</f>
        <v>0</v>
      </c>
      <c r="I20" s="56">
        <f>I78</f>
        <v>-2.7992548162726269E-7</v>
      </c>
      <c r="J20" s="56">
        <f>J78</f>
        <v>1.7871336138671268E-3</v>
      </c>
      <c r="L20" s="57">
        <f>I76</f>
        <v>5.8885731722913275E-4</v>
      </c>
      <c r="M20" s="57">
        <f>J76</f>
        <v>1.9637908090358665E-3</v>
      </c>
      <c r="O20" s="29" t="e">
        <f>1/SQRT((L20/M78)^2-(L20*M20/M78^2)+(M20/N78)^2+(K78/O78)^2)</f>
        <v>#DIV/0!</v>
      </c>
      <c r="P20" s="29" t="e">
        <f>MIN(1/SQRT((L20/M78)^2+(K78/O78)^2),1/SQRT((M20/N78)^2+(K78/O78)^2))</f>
        <v>#DIV/0!</v>
      </c>
      <c r="Q20" s="29" t="e">
        <f>1/SQRT((M20/N78)^2+(K78/O78)^2)</f>
        <v>#DIV/0!</v>
      </c>
      <c r="R20" s="11"/>
      <c r="S20" s="11"/>
      <c r="T20" s="11"/>
      <c r="U20" s="11"/>
      <c r="V20" s="11"/>
      <c r="AV20" s="46"/>
      <c r="AW20" s="49"/>
      <c r="AX20" s="49"/>
      <c r="AZ20" s="46"/>
      <c r="BA20" s="49"/>
      <c r="BB20" s="49"/>
    </row>
    <row r="21" spans="1:61" ht="13.8" customHeight="1" x14ac:dyDescent="0.3">
      <c r="AV21" s="46"/>
      <c r="AW21" s="49"/>
      <c r="AX21" s="49"/>
      <c r="AZ21" s="46"/>
      <c r="BA21" s="49"/>
      <c r="BB21" s="49"/>
    </row>
    <row r="22" spans="1:61" ht="13.8" customHeight="1" x14ac:dyDescent="0.3">
      <c r="B22" s="69" t="s">
        <v>88</v>
      </c>
      <c r="C22" s="69"/>
      <c r="D22" s="69"/>
      <c r="E22" s="69"/>
      <c r="F22" s="69"/>
      <c r="G22" s="69"/>
      <c r="AV22" s="46"/>
      <c r="AW22" s="49"/>
      <c r="AX22" s="49"/>
      <c r="AZ22" s="46"/>
      <c r="BA22" s="49"/>
      <c r="BB22" s="49"/>
    </row>
    <row r="23" spans="1:61" ht="13.8" customHeight="1" x14ac:dyDescent="0.3">
      <c r="B23" s="20" t="s">
        <v>32</v>
      </c>
      <c r="C23" s="20" t="s">
        <v>1</v>
      </c>
      <c r="D23" s="20" t="s">
        <v>67</v>
      </c>
      <c r="E23" s="20" t="s">
        <v>68</v>
      </c>
      <c r="F23" s="20" t="s">
        <v>36</v>
      </c>
      <c r="G23" s="20" t="s">
        <v>78</v>
      </c>
      <c r="O23" s="69" t="s">
        <v>102</v>
      </c>
      <c r="P23" s="69"/>
      <c r="Q23" s="69"/>
      <c r="AV23" s="46"/>
      <c r="AW23" s="49"/>
      <c r="AX23" s="49"/>
      <c r="AZ23" s="46"/>
      <c r="BA23" s="49"/>
      <c r="BB23" s="49"/>
    </row>
    <row r="24" spans="1:61" ht="13.8" customHeight="1" x14ac:dyDescent="0.3">
      <c r="B24" s="25" t="str">
        <f>B83</f>
        <v>SYMMETRIC</v>
      </c>
      <c r="C24" s="8">
        <f>C83</f>
        <v>0.13625000000000001</v>
      </c>
      <c r="D24" s="26">
        <f>D83</f>
        <v>3615871.1323124878</v>
      </c>
      <c r="E24" s="26">
        <f>E83</f>
        <v>6076936.5077415695</v>
      </c>
      <c r="F24" s="8">
        <f>F83</f>
        <v>0.5000540368403954</v>
      </c>
      <c r="G24" s="45">
        <f>(G5/2)/(SQRT(ABS(F29)+G29*C24))</f>
        <v>110.57600924689903</v>
      </c>
      <c r="O24" s="12" t="s">
        <v>101</v>
      </c>
      <c r="P24" s="70" t="s">
        <v>105</v>
      </c>
      <c r="Q24" s="70"/>
      <c r="AV24" s="46"/>
      <c r="AW24" s="49"/>
      <c r="AX24" s="49"/>
      <c r="AZ24" s="46"/>
      <c r="BA24" s="49"/>
      <c r="BB24" s="49"/>
    </row>
    <row r="25" spans="1:61" ht="13.8" customHeight="1" x14ac:dyDescent="0.3">
      <c r="C25" s="30" t="s">
        <v>15</v>
      </c>
      <c r="D25" s="30" t="s">
        <v>12</v>
      </c>
      <c r="E25" s="30" t="s">
        <v>12</v>
      </c>
      <c r="G25" s="30" t="s">
        <v>79</v>
      </c>
      <c r="N25" s="59"/>
      <c r="O25" s="29">
        <f t="array" ref="O25">MIN((IF(ISNUMBER(O9:Q20),O9:Q20)))</f>
        <v>3.5350191560289526</v>
      </c>
      <c r="P25" s="71">
        <f>O25*B5</f>
        <v>3004.7662826246096</v>
      </c>
      <c r="Q25" s="72"/>
      <c r="AV25" s="46"/>
      <c r="AW25" s="49"/>
      <c r="AX25" s="49"/>
      <c r="AZ25" s="46"/>
      <c r="BA25" s="49"/>
      <c r="BB25" s="49"/>
    </row>
    <row r="26" spans="1:61" ht="13.8" customHeight="1" x14ac:dyDescent="0.3">
      <c r="B26" s="20" t="s">
        <v>69</v>
      </c>
      <c r="C26" s="20" t="s">
        <v>70</v>
      </c>
      <c r="D26" s="20" t="s">
        <v>71</v>
      </c>
      <c r="E26" s="20" t="s">
        <v>72</v>
      </c>
      <c r="F26" s="20" t="s">
        <v>73</v>
      </c>
      <c r="G26" s="20" t="s">
        <v>100</v>
      </c>
      <c r="P26" s="68" t="s">
        <v>12</v>
      </c>
      <c r="Q26" s="68"/>
      <c r="AV26" s="46"/>
      <c r="AW26" s="50"/>
      <c r="AX26" s="50"/>
      <c r="AZ26" s="46"/>
      <c r="BA26" s="50"/>
      <c r="BB26" s="50"/>
    </row>
    <row r="27" spans="1:61" s="20" customFormat="1" ht="13.8" customHeight="1" x14ac:dyDescent="0.3">
      <c r="B27" s="25">
        <f>C5/C24</f>
        <v>9365.596330275228</v>
      </c>
      <c r="C27" s="25">
        <f>D5/C24</f>
        <v>18731.192660550456</v>
      </c>
      <c r="D27" s="26">
        <f>F91</f>
        <v>-2.7992548162726269E-7</v>
      </c>
      <c r="E27" s="26">
        <f>F92</f>
        <v>1.7871336138671268E-3</v>
      </c>
      <c r="F27" s="29">
        <f>D27*F5/2*1000</f>
        <v>-6.2003494180438677E-3</v>
      </c>
      <c r="G27" s="29">
        <f>E27*G5/2*1000</f>
        <v>5.3658686756360483</v>
      </c>
      <c r="AV27" s="46"/>
      <c r="AW27" s="49"/>
      <c r="AX27" s="49"/>
      <c r="AZ27" s="46"/>
      <c r="BA27" s="49"/>
      <c r="BB27" s="49"/>
    </row>
    <row r="28" spans="1:61" s="6" customFormat="1" ht="13.8" customHeight="1" x14ac:dyDescent="0.3">
      <c r="B28" s="30" t="s">
        <v>12</v>
      </c>
      <c r="C28" s="30" t="s">
        <v>12</v>
      </c>
      <c r="D28"/>
      <c r="E28"/>
      <c r="F28" s="30" t="s">
        <v>58</v>
      </c>
      <c r="G28" s="30" t="s">
        <v>58</v>
      </c>
      <c r="K28" s="20"/>
      <c r="AV28" s="46"/>
      <c r="AW28" s="49"/>
      <c r="AX28" s="49"/>
      <c r="AZ28" s="46"/>
      <c r="BA28" s="49"/>
      <c r="BB28" s="49"/>
    </row>
    <row r="29" spans="1:61" ht="14.4" customHeight="1" x14ac:dyDescent="0.3">
      <c r="F29" s="47">
        <f>F27/1000</f>
        <v>-6.2003494180438679E-6</v>
      </c>
      <c r="G29" s="47">
        <f>G27/1000</f>
        <v>5.3658686756360482E-3</v>
      </c>
      <c r="AV29" s="46"/>
      <c r="AZ29" s="46"/>
      <c r="BI29" s="6"/>
    </row>
    <row r="30" spans="1:61" ht="13.8" customHeight="1" x14ac:dyDescent="0.3">
      <c r="B30" s="69" t="s">
        <v>74</v>
      </c>
      <c r="C30" s="69"/>
      <c r="D30" s="69"/>
      <c r="E30" s="69"/>
      <c r="F30" s="69"/>
      <c r="G30" s="69"/>
      <c r="AV30" s="46"/>
      <c r="AZ30" s="46"/>
    </row>
    <row r="31" spans="1:61" ht="13.8" customHeight="1" x14ac:dyDescent="0.3">
      <c r="A31" s="11" t="s">
        <v>13</v>
      </c>
      <c r="B31" s="12" t="s">
        <v>0</v>
      </c>
      <c r="C31" s="12" t="s">
        <v>25</v>
      </c>
      <c r="D31" s="12" t="s">
        <v>62</v>
      </c>
      <c r="E31" s="12" t="s">
        <v>18</v>
      </c>
      <c r="F31" s="12" t="s">
        <v>17</v>
      </c>
      <c r="G31" s="12" t="s">
        <v>19</v>
      </c>
      <c r="H31" s="11"/>
      <c r="I31" s="12" t="s">
        <v>82</v>
      </c>
      <c r="J31" s="12" t="s">
        <v>83</v>
      </c>
      <c r="K31" s="11" t="s">
        <v>84</v>
      </c>
      <c r="L31" s="11"/>
      <c r="M31" s="12" t="s">
        <v>22</v>
      </c>
      <c r="N31" s="12" t="s">
        <v>23</v>
      </c>
      <c r="O31" s="12" t="s">
        <v>21</v>
      </c>
      <c r="P31" s="12" t="s">
        <v>20</v>
      </c>
      <c r="Q31" s="12" t="s">
        <v>24</v>
      </c>
      <c r="R31" s="12"/>
      <c r="S31" s="37" t="s">
        <v>27</v>
      </c>
      <c r="T31" s="37"/>
      <c r="U31" s="37"/>
      <c r="V31" s="11"/>
      <c r="W31" s="37" t="s">
        <v>26</v>
      </c>
      <c r="X31" s="37"/>
      <c r="Y31" s="37"/>
      <c r="Z31" s="11"/>
      <c r="AA31" s="37" t="s">
        <v>28</v>
      </c>
      <c r="AB31" s="37"/>
      <c r="AC31" s="37"/>
      <c r="AD31" s="11"/>
      <c r="AE31" s="37" t="s">
        <v>29</v>
      </c>
      <c r="AF31" s="37"/>
      <c r="AG31" s="37"/>
      <c r="AH31" s="11"/>
      <c r="AI31" s="37" t="s">
        <v>30</v>
      </c>
      <c r="AJ31" s="37"/>
      <c r="AK31" s="37"/>
      <c r="AM31" s="51" t="s">
        <v>80</v>
      </c>
      <c r="AO31" s="51" t="s">
        <v>81</v>
      </c>
      <c r="AV31" s="46"/>
      <c r="AZ31" s="46"/>
    </row>
    <row r="32" spans="1:61" ht="13.8" customHeight="1" x14ac:dyDescent="0.3">
      <c r="A32" s="34">
        <v>1</v>
      </c>
      <c r="B32" s="5">
        <f>E9</f>
        <v>1</v>
      </c>
      <c r="C32" s="5">
        <f>F9</f>
        <v>42.4</v>
      </c>
      <c r="D32" s="3" t="str">
        <f>_xlfn.XLOOKUP($B32,Materials!$B$2:$H$2,Materials!$B$3:$H$3,"## ##")</f>
        <v>T700S/UF3325</v>
      </c>
      <c r="E32" s="9">
        <f>_xlfn.XLOOKUP(B32,Materials!$B$2:$H$2,Materials!B$17:H$17,"## ##")</f>
        <v>8.7500000000000008E-3</v>
      </c>
      <c r="F32" s="7">
        <f>G9</f>
        <v>0.5</v>
      </c>
      <c r="G32" s="9">
        <f>E32/(1-F32)</f>
        <v>1.7500000000000002E-2</v>
      </c>
      <c r="I32" s="53">
        <f>AO32</f>
        <v>20672.340481157189</v>
      </c>
      <c r="J32" s="53">
        <f>AO33</f>
        <v>1722.110182065423</v>
      </c>
      <c r="K32" s="53">
        <f>AO34</f>
        <v>1157.0372175130451</v>
      </c>
      <c r="M32" s="4">
        <f>_xlfn.XLOOKUP($B32,Materials!$B$2:$H$2,Materials!$B$5:$H$5,"## ##")</f>
        <v>25000000</v>
      </c>
      <c r="N32" s="4">
        <f>_xlfn.XLOOKUP($B32,Materials!B$2:H$2,Materials!B$6:H$6,"## ##")</f>
        <v>1500000</v>
      </c>
      <c r="O32" s="13">
        <f>_xlfn.XLOOKUP($B32,Materials!B$2:H$2,Materials!B$7:H$7,"## ##")</f>
        <v>0.21</v>
      </c>
      <c r="P32" s="4">
        <f>_xlfn.XLOOKUP($B32,Materials!B$2:H$2,Materials!B$8:H$8,"## ##")</f>
        <v>650000</v>
      </c>
      <c r="Q32" s="13">
        <f>(N32/M32)*O32</f>
        <v>1.2599999999999998E-2</v>
      </c>
      <c r="S32" s="17">
        <f>COS(RADIANS(C32))^2</f>
        <v>0.54531629009889004</v>
      </c>
      <c r="T32" s="17">
        <f>SIN(RADIANS(C32))^2</f>
        <v>0.45468370990110996</v>
      </c>
      <c r="U32" s="17">
        <f>-2*COS(RADIANS(C32))*SIN(RADIANS(C32))</f>
        <v>-0.99588439861597033</v>
      </c>
      <c r="V32" s="16"/>
      <c r="W32" s="22">
        <f>M32/(1-O32*Q32)</f>
        <v>25066325.497265767</v>
      </c>
      <c r="X32" s="22">
        <f>Q32*M32/(1-O32*Q32)</f>
        <v>315835.70126554859</v>
      </c>
      <c r="Y32" s="22">
        <v>0</v>
      </c>
      <c r="Z32" s="18"/>
      <c r="AA32" s="17">
        <f>COS(RADIANS(C32))^2</f>
        <v>0.54531629009889004</v>
      </c>
      <c r="AB32" s="17">
        <f>SIN(RADIANS(C32))^2</f>
        <v>0.45468370990110996</v>
      </c>
      <c r="AC32" s="17">
        <f>COS(RADIANS(C32))*SIN(RADIANS(C32))</f>
        <v>0.49794219930798517</v>
      </c>
      <c r="AD32" s="16"/>
      <c r="AE32" s="22" cm="1">
        <f t="array" ref="AE32:AG34">MMULT(MMULT(S32:U34,W32:Y34),AA32:AC34)</f>
        <v>8566179.6406382844</v>
      </c>
      <c r="AF32" s="22">
        <v>6102566.6794485841</v>
      </c>
      <c r="AG32" s="22">
        <v>6392976.9600917529</v>
      </c>
      <c r="AH32" s="23"/>
      <c r="AI32" s="22" cm="1">
        <f t="array" ref="AI32:AK34">G32*(_xlfn.ANCHORARRAY(AE32))</f>
        <v>149908.14371116998</v>
      </c>
      <c r="AJ32" s="22">
        <v>106794.91689035023</v>
      </c>
      <c r="AK32" s="22">
        <v>111877.09680160569</v>
      </c>
      <c r="AM32" s="52" cm="1">
        <f t="array" ref="AM32:AM34">MMULT(AA32:AC34,_xlfn.ANCHORARRAY($F$91))</f>
        <v>8.1242789371693792E-4</v>
      </c>
      <c r="AO32" s="53" cm="1">
        <f t="array" ref="AO32:AO34">MMULT(W32:Y34,_xlfn.ANCHORARRAY($AM32))</f>
        <v>20672.340481157189</v>
      </c>
      <c r="AV32" s="46"/>
      <c r="AZ32" s="46"/>
    </row>
    <row r="33" spans="1:52" ht="13.8" customHeight="1" x14ac:dyDescent="0.3">
      <c r="A33" s="34"/>
      <c r="B33" s="39"/>
      <c r="C33" s="40"/>
      <c r="D33" s="40"/>
      <c r="G33" s="12"/>
      <c r="I33" s="12" t="s">
        <v>85</v>
      </c>
      <c r="J33" s="12" t="s">
        <v>86</v>
      </c>
      <c r="K33" s="12" t="s">
        <v>87</v>
      </c>
      <c r="M33" s="12" t="s">
        <v>92</v>
      </c>
      <c r="N33" s="12" t="s">
        <v>93</v>
      </c>
      <c r="O33" s="12" t="s">
        <v>94</v>
      </c>
      <c r="P33" s="12" t="s">
        <v>85</v>
      </c>
      <c r="Q33" s="12" t="s">
        <v>86</v>
      </c>
      <c r="S33" s="17">
        <f>SIN(RADIANS(C32))^2</f>
        <v>0.45468370990110996</v>
      </c>
      <c r="T33" s="17">
        <f>COS(RADIANS(C32))^2</f>
        <v>0.54531629009889004</v>
      </c>
      <c r="U33" s="17">
        <f>2*COS(RADIANS(C32))*SIN(RADIANS(C32))</f>
        <v>0.99588439861597033</v>
      </c>
      <c r="V33" s="16" t="s">
        <v>31</v>
      </c>
      <c r="W33" s="22">
        <f>O32*N32/(1-O32*Q32)</f>
        <v>315835.70126554865</v>
      </c>
      <c r="X33" s="22">
        <f>N32/(1-O32*Q32)</f>
        <v>1503979.5298359459</v>
      </c>
      <c r="Y33" s="22">
        <v>0</v>
      </c>
      <c r="Z33" s="18" t="s">
        <v>31</v>
      </c>
      <c r="AA33" s="17">
        <f>AB32</f>
        <v>0.45468370990110996</v>
      </c>
      <c r="AB33" s="17">
        <f>AA32</f>
        <v>0.54531629009889004</v>
      </c>
      <c r="AC33" s="17">
        <f>-COS(RADIANS(C32))*SIN(RADIANS(C32))</f>
        <v>-0.49794219930798517</v>
      </c>
      <c r="AD33" s="16" t="str">
        <f>"="</f>
        <v>=</v>
      </c>
      <c r="AE33" s="22">
        <v>6102566.6794485832</v>
      </c>
      <c r="AF33" s="22">
        <v>6430663.4300973583</v>
      </c>
      <c r="AG33" s="22">
        <v>5339709.4117858876</v>
      </c>
      <c r="AH33" s="23" t="str">
        <f>"==&gt;"</f>
        <v>==&gt;</v>
      </c>
      <c r="AI33" s="22">
        <v>106794.91689035021</v>
      </c>
      <c r="AJ33" s="22">
        <v>112536.61002670378</v>
      </c>
      <c r="AK33" s="22">
        <v>93444.914706253039</v>
      </c>
      <c r="AM33" s="52">
        <v>9.7442579466856165E-4</v>
      </c>
      <c r="AO33" s="53">
        <v>1722.110182065423</v>
      </c>
      <c r="AV33" s="46"/>
      <c r="AZ33" s="46"/>
    </row>
    <row r="34" spans="1:52" ht="13.8" customHeight="1" x14ac:dyDescent="0.3">
      <c r="A34" s="34"/>
      <c r="B34" s="41"/>
      <c r="I34" s="54">
        <f>AM32</f>
        <v>8.1242789371693792E-4</v>
      </c>
      <c r="J34" s="54">
        <f>AM33</f>
        <v>9.7442579466856165E-4</v>
      </c>
      <c r="K34" s="54">
        <f>AM34</f>
        <v>1.7800572577123771E-3</v>
      </c>
      <c r="M34" s="10">
        <f>_xlfn.XLOOKUP($B32,Materials!$B$2:$H$2,Materials!$B$10:$H$10,"## ##")</f>
        <v>305000</v>
      </c>
      <c r="N34" s="10">
        <f>_xlfn.XLOOKUP($B32,Materials!$B$2:$H$2,Materials!$B$11:$H$11,"## ##")</f>
        <v>6500</v>
      </c>
      <c r="O34" s="10">
        <f>_xlfn.XLOOKUP($B32,Materials!$B$2:$H$2,Materials!$B$12:$H$12,"## ##")</f>
        <v>14000</v>
      </c>
      <c r="P34" s="10">
        <f>_xlfn.XLOOKUP($B32,Materials!$B$2:$H$2,Materials!$B$13:$H$13,"## ##")</f>
        <v>1.7000000000000001E-2</v>
      </c>
      <c r="Q34" s="10">
        <f>_xlfn.XLOOKUP($B32,Materials!$B$2:$H$2,Materials!$B$14:$H$14,"## ##")</f>
        <v>0</v>
      </c>
      <c r="S34" s="17">
        <f>COS(RADIANS(C32))*SIN(RADIANS(C32))</f>
        <v>0.49794219930798517</v>
      </c>
      <c r="T34" s="17">
        <f>-COS(RADIANS(C32))*SIN(RADIANS(C32))</f>
        <v>-0.49794219930798517</v>
      </c>
      <c r="U34" s="17">
        <f>COS(RADIANS(C32))^2-SIN(RADIANS(C32))^2</f>
        <v>9.0632580197780088E-2</v>
      </c>
      <c r="V34" s="16"/>
      <c r="W34" s="22">
        <v>0</v>
      </c>
      <c r="X34" s="22">
        <v>0</v>
      </c>
      <c r="Y34" s="22">
        <f>P32</f>
        <v>650000</v>
      </c>
      <c r="Z34" s="18"/>
      <c r="AA34" s="17">
        <f>-2*COS(RADIANS(C32))*SIN(RADIANS(C32))</f>
        <v>-0.99588439861597033</v>
      </c>
      <c r="AB34" s="17">
        <f>-AA34</f>
        <v>0.99588439861597033</v>
      </c>
      <c r="AC34" s="17">
        <f>COS(RADIANS(C32))^2-SIN(RADIANS(C32))^2</f>
        <v>9.0632580197780088E-2</v>
      </c>
      <c r="AD34" s="16"/>
      <c r="AE34" s="22">
        <v>6392976.9600917529</v>
      </c>
      <c r="AF34" s="22">
        <v>5339709.4117858885</v>
      </c>
      <c r="AG34" s="22">
        <v>6436730.9781830339</v>
      </c>
      <c r="AH34" s="23"/>
      <c r="AI34" s="22">
        <v>111877.09680160569</v>
      </c>
      <c r="AJ34" s="22">
        <v>93444.914706253054</v>
      </c>
      <c r="AK34" s="22">
        <v>112642.7921182031</v>
      </c>
      <c r="AM34" s="52">
        <v>1.7800572577123771E-3</v>
      </c>
      <c r="AO34" s="53">
        <v>1157.0372175130451</v>
      </c>
      <c r="AV34" s="46"/>
      <c r="AZ34" s="46"/>
    </row>
    <row r="35" spans="1:52" ht="13.8" customHeight="1" x14ac:dyDescent="0.3">
      <c r="A35" s="34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V35" s="46"/>
      <c r="AZ35" s="46"/>
    </row>
    <row r="36" spans="1:52" ht="13.8" customHeight="1" x14ac:dyDescent="0.3">
      <c r="A36" s="34">
        <v>2</v>
      </c>
      <c r="B36" s="5">
        <f>E10</f>
        <v>1</v>
      </c>
      <c r="C36" s="5">
        <f>F10</f>
        <v>-42.4</v>
      </c>
      <c r="D36" s="3" t="str">
        <f>_xlfn.XLOOKUP($B36,Materials!$B$2:$H$2,Materials!$B$3:$H$3,"## ##")</f>
        <v>T700S/UF3325</v>
      </c>
      <c r="E36" s="9">
        <f>_xlfn.XLOOKUP(B36,Materials!$B$2:$H$2,Materials!B$17:H$17,"## ##")</f>
        <v>8.7500000000000008E-3</v>
      </c>
      <c r="F36" s="7">
        <f>G10</f>
        <v>0.5</v>
      </c>
      <c r="G36" s="9">
        <f>E36/(1-F36)</f>
        <v>1.7500000000000002E-2</v>
      </c>
      <c r="I36" s="53">
        <f>AO36</f>
        <v>20672.340481157189</v>
      </c>
      <c r="J36" s="53">
        <f>AO37</f>
        <v>1722.110182065423</v>
      </c>
      <c r="K36" s="53">
        <f>AO38</f>
        <v>-1157.0372175130451</v>
      </c>
      <c r="M36" s="4">
        <f>_xlfn.XLOOKUP($B36,Materials!$B$2:$H$2,Materials!$B$5:$H$5,"## ##")</f>
        <v>25000000</v>
      </c>
      <c r="N36" s="4">
        <f>_xlfn.XLOOKUP($B36,Materials!B$2:H$2,Materials!B$6:H$6,"## ##")</f>
        <v>1500000</v>
      </c>
      <c r="O36" s="13">
        <f>_xlfn.XLOOKUP($B36,Materials!B$2:H$2,Materials!B$7:H$7,"## ##")</f>
        <v>0.21</v>
      </c>
      <c r="P36" s="4">
        <f>_xlfn.XLOOKUP($B36,Materials!B$2:H$2,Materials!B$8:H$8,"## ##")</f>
        <v>650000</v>
      </c>
      <c r="Q36" s="13">
        <f>(N36/M36)*O36</f>
        <v>1.2599999999999998E-2</v>
      </c>
      <c r="S36" s="17">
        <f>COS(RADIANS(C36))^2</f>
        <v>0.54531629009889004</v>
      </c>
      <c r="T36" s="17">
        <f>SIN(RADIANS(C36))^2</f>
        <v>0.45468370990110996</v>
      </c>
      <c r="U36" s="17">
        <f>-2*COS(RADIANS(C36))*SIN(RADIANS(C36))</f>
        <v>0.99588439861597033</v>
      </c>
      <c r="V36" s="16"/>
      <c r="W36" s="22">
        <f>M36/(1-O36*Q36)</f>
        <v>25066325.497265767</v>
      </c>
      <c r="X36" s="22">
        <f>Q36*M36/(1-O36*Q36)</f>
        <v>315835.70126554859</v>
      </c>
      <c r="Y36" s="22">
        <v>0</v>
      </c>
      <c r="Z36" s="18"/>
      <c r="AA36" s="17">
        <f>COS(RADIANS(C36))^2</f>
        <v>0.54531629009889004</v>
      </c>
      <c r="AB36" s="17">
        <f>SIN(RADIANS(C36))^2</f>
        <v>0.45468370990110996</v>
      </c>
      <c r="AC36" s="17">
        <f>COS(RADIANS(C36))*SIN(RADIANS(C36))</f>
        <v>-0.49794219930798517</v>
      </c>
      <c r="AD36" s="16"/>
      <c r="AE36" s="22" cm="1">
        <f t="array" ref="AE36:AG38">MMULT(MMULT(S36:U38,W36:Y38),AA36:AC38)</f>
        <v>8566179.6406382844</v>
      </c>
      <c r="AF36" s="22">
        <v>6102566.6794485841</v>
      </c>
      <c r="AG36" s="22">
        <v>-6392976.9600917529</v>
      </c>
      <c r="AH36" s="23"/>
      <c r="AI36" s="22" cm="1">
        <f t="array" ref="AI36:AK38">G36*(_xlfn.ANCHORARRAY(AE36))</f>
        <v>149908.14371116998</v>
      </c>
      <c r="AJ36" s="22">
        <v>106794.91689035023</v>
      </c>
      <c r="AK36" s="22">
        <v>-111877.09680160569</v>
      </c>
      <c r="AM36" s="52" cm="1">
        <f t="array" ref="AM36:AM38">MMULT(AA36:AC38,_xlfn.ANCHORARRAY($F$91))</f>
        <v>8.1242789371693792E-4</v>
      </c>
      <c r="AO36" s="53" cm="1">
        <f t="array" ref="AO36:AO38">MMULT(W36:Y38,_xlfn.ANCHORARRAY($AM36))</f>
        <v>20672.340481157189</v>
      </c>
      <c r="AV36" s="46"/>
      <c r="AZ36" s="46"/>
    </row>
    <row r="37" spans="1:52" ht="13.8" customHeight="1" x14ac:dyDescent="0.3">
      <c r="A37" s="34"/>
      <c r="B37" s="39"/>
      <c r="C37" s="40"/>
      <c r="D37" s="40"/>
      <c r="E37" s="40"/>
      <c r="F37" s="40"/>
      <c r="G37" s="40"/>
      <c r="I37" s="12"/>
      <c r="J37" s="12"/>
      <c r="K37" s="12"/>
      <c r="S37" s="17">
        <f>SIN(RADIANS(C36))^2</f>
        <v>0.45468370990110996</v>
      </c>
      <c r="T37" s="17">
        <f>COS(RADIANS(C36))^2</f>
        <v>0.54531629009889004</v>
      </c>
      <c r="U37" s="17">
        <f>2*COS(RADIANS(C36))*SIN(RADIANS(C36))</f>
        <v>-0.99588439861597033</v>
      </c>
      <c r="V37" s="16" t="s">
        <v>31</v>
      </c>
      <c r="W37" s="22">
        <f>O36*N36/(1-O36*Q36)</f>
        <v>315835.70126554865</v>
      </c>
      <c r="X37" s="22">
        <f>N36/(1-O36*Q36)</f>
        <v>1503979.5298359459</v>
      </c>
      <c r="Y37" s="22">
        <v>0</v>
      </c>
      <c r="Z37" s="18" t="s">
        <v>31</v>
      </c>
      <c r="AA37" s="17">
        <f>AB36</f>
        <v>0.45468370990110996</v>
      </c>
      <c r="AB37" s="17">
        <f>AA36</f>
        <v>0.54531629009889004</v>
      </c>
      <c r="AC37" s="17">
        <f>-COS(RADIANS(C36))*SIN(RADIANS(C36))</f>
        <v>0.49794219930798517</v>
      </c>
      <c r="AD37" s="16" t="str">
        <f>"="</f>
        <v>=</v>
      </c>
      <c r="AE37" s="22">
        <v>6102566.6794485832</v>
      </c>
      <c r="AF37" s="22">
        <v>6430663.4300973583</v>
      </c>
      <c r="AG37" s="22">
        <v>-5339709.4117858876</v>
      </c>
      <c r="AH37" s="23" t="str">
        <f>"==&gt;"</f>
        <v>==&gt;</v>
      </c>
      <c r="AI37" s="22">
        <v>106794.91689035021</v>
      </c>
      <c r="AJ37" s="22">
        <v>112536.61002670378</v>
      </c>
      <c r="AK37" s="22">
        <v>-93444.914706253039</v>
      </c>
      <c r="AM37" s="52">
        <v>9.7442579466856165E-4</v>
      </c>
      <c r="AO37" s="53">
        <v>1722.110182065423</v>
      </c>
      <c r="AV37" s="46"/>
      <c r="AZ37" s="46"/>
    </row>
    <row r="38" spans="1:52" ht="13.8" customHeight="1" x14ac:dyDescent="0.3">
      <c r="A38" s="34"/>
      <c r="B38" s="41"/>
      <c r="I38" s="54">
        <f>AM36</f>
        <v>8.1242789371693792E-4</v>
      </c>
      <c r="J38" s="54">
        <f>AM37</f>
        <v>9.7442579466856165E-4</v>
      </c>
      <c r="K38" s="54">
        <f>AM38</f>
        <v>-1.7800572577123771E-3</v>
      </c>
      <c r="M38" s="10">
        <f>_xlfn.XLOOKUP($B36,Materials!$B$2:$H$2,Materials!$B$10:$H$10,"## ##")</f>
        <v>305000</v>
      </c>
      <c r="N38" s="10">
        <f>_xlfn.XLOOKUP($B36,Materials!$B$2:$H$2,Materials!$B$11:$H$11,"## ##")</f>
        <v>6500</v>
      </c>
      <c r="O38" s="10">
        <f>_xlfn.XLOOKUP($B36,Materials!$B$2:$H$2,Materials!$B$12:$H$12,"## ##")</f>
        <v>14000</v>
      </c>
      <c r="P38" s="10">
        <f>_xlfn.XLOOKUP($B36,Materials!$B$2:$H$2,Materials!$B$13:$H$13,"## ##")</f>
        <v>1.7000000000000001E-2</v>
      </c>
      <c r="Q38" s="10">
        <f>_xlfn.XLOOKUP($B36,Materials!$B$2:$H$2,Materials!$B$14:$H$14,"## ##")</f>
        <v>0</v>
      </c>
      <c r="S38" s="17">
        <f>COS(RADIANS(C36))*SIN(RADIANS(C36))</f>
        <v>-0.49794219930798517</v>
      </c>
      <c r="T38" s="17">
        <f>-COS(RADIANS(C36))*SIN(RADIANS(C36))</f>
        <v>0.49794219930798517</v>
      </c>
      <c r="U38" s="17">
        <f>COS(RADIANS(C36))^2-SIN(RADIANS(C36))^2</f>
        <v>9.0632580197780088E-2</v>
      </c>
      <c r="V38" s="16"/>
      <c r="W38" s="22">
        <v>0</v>
      </c>
      <c r="X38" s="22">
        <v>0</v>
      </c>
      <c r="Y38" s="22">
        <f>P36</f>
        <v>650000</v>
      </c>
      <c r="Z38" s="18"/>
      <c r="AA38" s="17">
        <f>-2*COS(RADIANS(C36))*SIN(RADIANS(C36))</f>
        <v>0.99588439861597033</v>
      </c>
      <c r="AB38" s="17">
        <f>-AA38</f>
        <v>-0.99588439861597033</v>
      </c>
      <c r="AC38" s="17">
        <f>COS(RADIANS(C36))^2-SIN(RADIANS(C36))^2</f>
        <v>9.0632580197780088E-2</v>
      </c>
      <c r="AD38" s="16"/>
      <c r="AE38" s="22">
        <v>-6392976.9600917529</v>
      </c>
      <c r="AF38" s="22">
        <v>-5339709.4117858885</v>
      </c>
      <c r="AG38" s="22">
        <v>6436730.9781830339</v>
      </c>
      <c r="AH38" s="23"/>
      <c r="AI38" s="22">
        <v>-111877.09680160569</v>
      </c>
      <c r="AJ38" s="22">
        <v>-93444.914706253054</v>
      </c>
      <c r="AK38" s="22">
        <v>112642.7921182031</v>
      </c>
      <c r="AM38" s="52">
        <v>-1.7800572577123771E-3</v>
      </c>
      <c r="AO38" s="53">
        <v>-1157.0372175130451</v>
      </c>
      <c r="AV38" s="46"/>
      <c r="AZ38" s="46"/>
    </row>
    <row r="39" spans="1:52" ht="13.8" customHeight="1" x14ac:dyDescent="0.3">
      <c r="A39" s="34"/>
      <c r="AV39" s="46"/>
      <c r="AZ39" s="46"/>
    </row>
    <row r="40" spans="1:52" ht="13.8" customHeight="1" x14ac:dyDescent="0.3">
      <c r="A40" s="34">
        <v>3</v>
      </c>
      <c r="B40" s="5">
        <f>E11</f>
        <v>1</v>
      </c>
      <c r="C40" s="5">
        <f>F11</f>
        <v>40.507814448481277</v>
      </c>
      <c r="D40" s="3" t="str">
        <f>_xlfn.XLOOKUP($B40,Materials!$B$2:$H$2,Materials!$B$3:$H$3,"## ##")</f>
        <v>T700S/UF3325</v>
      </c>
      <c r="E40" s="9">
        <f>_xlfn.XLOOKUP(B40,Materials!$B$2:$H$2,Materials!B$17:H$17,"## ##")</f>
        <v>8.7500000000000008E-3</v>
      </c>
      <c r="F40" s="7">
        <f>G11</f>
        <v>0.5</v>
      </c>
      <c r="G40" s="9">
        <f>E40/(1-F40)</f>
        <v>1.7500000000000002E-2</v>
      </c>
      <c r="I40" s="53">
        <f>AO40</f>
        <v>19222.783381557521</v>
      </c>
      <c r="J40" s="53">
        <f>AO41</f>
        <v>1791.6959695082271</v>
      </c>
      <c r="K40" s="53">
        <f>AO42</f>
        <v>1147.5644170987805</v>
      </c>
      <c r="M40" s="4">
        <f>_xlfn.XLOOKUP($B40,Materials!$B$2:$H$2,Materials!$B$5:$H$5,"## ##")</f>
        <v>25000000</v>
      </c>
      <c r="N40" s="4">
        <f>_xlfn.XLOOKUP($B40,Materials!B$2:H$2,Materials!B$6:H$6,"## ##")</f>
        <v>1500000</v>
      </c>
      <c r="O40" s="13">
        <f>_xlfn.XLOOKUP($B40,Materials!B$2:H$2,Materials!B$7:H$7,"## ##")</f>
        <v>0.21</v>
      </c>
      <c r="P40" s="4">
        <f>_xlfn.XLOOKUP($B40,Materials!B$2:H$2,Materials!B$8:H$8,"## ##")</f>
        <v>650000</v>
      </c>
      <c r="Q40" s="13">
        <f>(N40/M40)*O40</f>
        <v>1.2599999999999998E-2</v>
      </c>
      <c r="S40" s="17">
        <f>COS(RADIANS(C40))^2</f>
        <v>0.57808252091744217</v>
      </c>
      <c r="T40" s="17">
        <f>SIN(RADIANS(C40))^2</f>
        <v>0.421917479082558</v>
      </c>
      <c r="U40" s="17">
        <f>-2*COS(RADIANS(C40))*SIN(RADIANS(C40))</f>
        <v>-0.98773097537168952</v>
      </c>
      <c r="V40" s="16"/>
      <c r="W40" s="22">
        <f>M40/(1-O40*Q40)</f>
        <v>25066325.497265767</v>
      </c>
      <c r="X40" s="22">
        <f>Q40*M40/(1-O40*Q40)</f>
        <v>315835.70126554859</v>
      </c>
      <c r="Y40" s="22">
        <v>0</v>
      </c>
      <c r="Z40" s="18"/>
      <c r="AA40" s="17">
        <f>COS(RADIANS(C40))^2</f>
        <v>0.57808252091744217</v>
      </c>
      <c r="AB40" s="17">
        <f>SIN(RADIANS(C40))^2</f>
        <v>0.421917479082558</v>
      </c>
      <c r="AC40" s="17">
        <f>COS(RADIANS(C40))*SIN(RADIANS(C40))</f>
        <v>0.49386548768584476</v>
      </c>
      <c r="AD40" s="16"/>
      <c r="AE40" s="22" cm="1">
        <f t="array" ref="AE40:AG42">MMULT(MMULT(S40:U42,W40:Y42),AA40:AC42)</f>
        <v>9432594.329546608</v>
      </c>
      <c r="AF40" s="22">
        <v>6008201.2571356492</v>
      </c>
      <c r="AG40" s="22">
        <v>6718305.2520292411</v>
      </c>
      <c r="AH40" s="23"/>
      <c r="AI40" s="22" cm="1">
        <f t="array" ref="AI40:AK42">G40*(_xlfn.ANCHORARRAY(AE40))</f>
        <v>165070.40076706564</v>
      </c>
      <c r="AJ40" s="22">
        <v>105143.52199987388</v>
      </c>
      <c r="AK40" s="22">
        <v>117570.34191051174</v>
      </c>
      <c r="AM40" s="52" cm="1">
        <f t="array" ref="AM40:AM42">MMULT(AA40:AC42,_xlfn.ANCHORARRAY($F$91))</f>
        <v>7.5386108911843169E-4</v>
      </c>
      <c r="AO40" s="53" cm="1">
        <f t="array" ref="AO40:AO42">MMULT(W40:Y42,_xlfn.ANCHORARRAY($AM40))</f>
        <v>19222.783381557521</v>
      </c>
      <c r="AV40" s="46"/>
      <c r="AZ40" s="46"/>
    </row>
    <row r="41" spans="1:52" ht="13.8" customHeight="1" x14ac:dyDescent="0.3">
      <c r="A41" s="34"/>
      <c r="B41" s="39"/>
      <c r="C41" s="40"/>
      <c r="D41" s="40"/>
      <c r="E41" s="40"/>
      <c r="F41" s="40"/>
      <c r="G41" s="40"/>
      <c r="I41" s="12"/>
      <c r="J41" s="12"/>
      <c r="K41" s="12"/>
      <c r="S41" s="17">
        <f>SIN(RADIANS(C40))^2</f>
        <v>0.421917479082558</v>
      </c>
      <c r="T41" s="17">
        <f>COS(RADIANS(C40))^2</f>
        <v>0.57808252091744217</v>
      </c>
      <c r="U41" s="17">
        <f>2*COS(RADIANS(C40))*SIN(RADIANS(C40))</f>
        <v>0.98773097537168952</v>
      </c>
      <c r="V41" s="16" t="s">
        <v>31</v>
      </c>
      <c r="W41" s="22">
        <f>O40*N40/(1-O40*Q40)</f>
        <v>315835.70126554865</v>
      </c>
      <c r="X41" s="22">
        <f>N40/(1-O40*Q40)</f>
        <v>1503979.5298359459</v>
      </c>
      <c r="Y41" s="22">
        <v>0</v>
      </c>
      <c r="Z41" s="18" t="s">
        <v>31</v>
      </c>
      <c r="AA41" s="17">
        <f>AB40</f>
        <v>0.421917479082558</v>
      </c>
      <c r="AB41" s="17">
        <f>AA40</f>
        <v>0.57808252091744217</v>
      </c>
      <c r="AC41" s="17">
        <f>-COS(RADIANS(C40))*SIN(RADIANS(C40))</f>
        <v>-0.49386548768584476</v>
      </c>
      <c r="AD41" s="16" t="str">
        <f>"="</f>
        <v>=</v>
      </c>
      <c r="AE41" s="22">
        <v>6008201.2571356492</v>
      </c>
      <c r="AF41" s="22">
        <v>5752979.5858149156</v>
      </c>
      <c r="AG41" s="22">
        <v>4918324.2301980881</v>
      </c>
      <c r="AH41" s="23" t="str">
        <f>"==&gt;"</f>
        <v>==&gt;</v>
      </c>
      <c r="AI41" s="22">
        <v>105143.52199987388</v>
      </c>
      <c r="AJ41" s="22">
        <v>100677.14275176103</v>
      </c>
      <c r="AK41" s="22">
        <v>86070.674028466543</v>
      </c>
      <c r="AM41" s="52">
        <v>1.0329925992670682E-3</v>
      </c>
      <c r="AO41" s="53">
        <v>1791.6959695082271</v>
      </c>
      <c r="AV41" s="46"/>
      <c r="AZ41" s="46"/>
    </row>
    <row r="42" spans="1:52" ht="13.8" customHeight="1" x14ac:dyDescent="0.3">
      <c r="A42" s="34"/>
      <c r="B42" s="41"/>
      <c r="I42" s="54">
        <f>AM40</f>
        <v>7.5386108911843169E-4</v>
      </c>
      <c r="J42" s="54">
        <f>AM41</f>
        <v>1.0329925992670682E-3</v>
      </c>
      <c r="K42" s="54">
        <f>AM42</f>
        <v>1.7654837186135085E-3</v>
      </c>
      <c r="M42" s="10">
        <f>_xlfn.XLOOKUP($B40,Materials!$B$2:$H$2,Materials!$B$10:$H$10,"## ##")</f>
        <v>305000</v>
      </c>
      <c r="N42" s="10">
        <f>_xlfn.XLOOKUP($B40,Materials!$B$2:$H$2,Materials!$B$11:$H$11,"## ##")</f>
        <v>6500</v>
      </c>
      <c r="O42" s="10">
        <f>_xlfn.XLOOKUP($B40,Materials!$B$2:$H$2,Materials!$B$12:$H$12,"## ##")</f>
        <v>14000</v>
      </c>
      <c r="P42" s="10">
        <f>_xlfn.XLOOKUP($B40,Materials!$B$2:$H$2,Materials!$B$13:$H$13,"## ##")</f>
        <v>1.7000000000000001E-2</v>
      </c>
      <c r="Q42" s="10">
        <f>_xlfn.XLOOKUP($B40,Materials!$B$2:$H$2,Materials!$B$14:$H$14,"## ##")</f>
        <v>0</v>
      </c>
      <c r="S42" s="17">
        <f>COS(RADIANS(C40))*SIN(RADIANS(C40))</f>
        <v>0.49386548768584476</v>
      </c>
      <c r="T42" s="17">
        <f>-COS(RADIANS(C40))*SIN(RADIANS(C40))</f>
        <v>-0.49386548768584476</v>
      </c>
      <c r="U42" s="17">
        <f>COS(RADIANS(C40))^2-SIN(RADIANS(C40))^2</f>
        <v>0.15616504183488417</v>
      </c>
      <c r="V42" s="16"/>
      <c r="W42" s="22">
        <v>0</v>
      </c>
      <c r="X42" s="22">
        <v>0</v>
      </c>
      <c r="Y42" s="22">
        <f>P40</f>
        <v>650000</v>
      </c>
      <c r="Z42" s="18"/>
      <c r="AA42" s="17">
        <f>-2*COS(RADIANS(C40))*SIN(RADIANS(C40))</f>
        <v>-0.98773097537168952</v>
      </c>
      <c r="AB42" s="17">
        <f>-AA42</f>
        <v>0.98773097537168952</v>
      </c>
      <c r="AC42" s="17">
        <f>COS(RADIANS(C40))^2-SIN(RADIANS(C40))^2</f>
        <v>0.15616504183488417</v>
      </c>
      <c r="AD42" s="16"/>
      <c r="AE42" s="22">
        <v>6718305.2520292411</v>
      </c>
      <c r="AF42" s="22">
        <v>4918324.2301980881</v>
      </c>
      <c r="AG42" s="22">
        <v>6342365.555870099</v>
      </c>
      <c r="AH42" s="23"/>
      <c r="AI42" s="22">
        <v>117570.34191051174</v>
      </c>
      <c r="AJ42" s="22">
        <v>86070.674028466543</v>
      </c>
      <c r="AK42" s="22">
        <v>110991.39722772675</v>
      </c>
      <c r="AM42" s="52">
        <v>1.7654837186135085E-3</v>
      </c>
      <c r="AO42" s="53">
        <v>1147.5644170987805</v>
      </c>
      <c r="AV42" s="46"/>
      <c r="AZ42" s="46"/>
    </row>
    <row r="43" spans="1:52" ht="13.8" customHeight="1" x14ac:dyDescent="0.3">
      <c r="A43" s="34"/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V43" s="46"/>
      <c r="AZ43" s="46"/>
    </row>
    <row r="44" spans="1:52" ht="13.8" customHeight="1" x14ac:dyDescent="0.3">
      <c r="A44" s="34">
        <v>4</v>
      </c>
      <c r="B44" s="5">
        <f>E12</f>
        <v>1</v>
      </c>
      <c r="C44" s="5">
        <f>F12</f>
        <v>-40.507814448481277</v>
      </c>
      <c r="D44" s="3" t="str">
        <f>_xlfn.XLOOKUP($B44,Materials!$B$2:$H$2,Materials!$B$3:$H$3,"## ##")</f>
        <v>T700S/UF3325</v>
      </c>
      <c r="E44" s="9">
        <f>_xlfn.XLOOKUP(B44,Materials!$B$2:$H$2,Materials!B$17:H$17,"## ##")</f>
        <v>8.7500000000000008E-3</v>
      </c>
      <c r="F44" s="7">
        <f>G12</f>
        <v>0.5</v>
      </c>
      <c r="G44" s="9">
        <f>E44/(1-F44)</f>
        <v>1.7500000000000002E-2</v>
      </c>
      <c r="I44" s="53">
        <f>AO44</f>
        <v>19222.783381557521</v>
      </c>
      <c r="J44" s="53">
        <f>AO45</f>
        <v>1791.6959695082271</v>
      </c>
      <c r="K44" s="53">
        <f>AO46</f>
        <v>-1147.5644170987805</v>
      </c>
      <c r="M44" s="4">
        <f>_xlfn.XLOOKUP($B44,Materials!$B$2:$H$2,Materials!$B$5:$H$5,"## ##")</f>
        <v>25000000</v>
      </c>
      <c r="N44" s="4">
        <f>_xlfn.XLOOKUP($B44,Materials!B$2:H$2,Materials!B$6:H$6,"## ##")</f>
        <v>1500000</v>
      </c>
      <c r="O44" s="13">
        <f>_xlfn.XLOOKUP($B44,Materials!B$2:H$2,Materials!B$7:H$7,"## ##")</f>
        <v>0.21</v>
      </c>
      <c r="P44" s="4">
        <f>_xlfn.XLOOKUP($B44,Materials!B$2:H$2,Materials!B$8:H$8,"## ##")</f>
        <v>650000</v>
      </c>
      <c r="Q44" s="13">
        <f>(N44/M44)*O44</f>
        <v>1.2599999999999998E-2</v>
      </c>
      <c r="S44" s="17">
        <f>COS(RADIANS(C44))^2</f>
        <v>0.57808252091744217</v>
      </c>
      <c r="T44" s="17">
        <f>SIN(RADIANS(C44))^2</f>
        <v>0.421917479082558</v>
      </c>
      <c r="U44" s="17">
        <f>-2*COS(RADIANS(C44))*SIN(RADIANS(C44))</f>
        <v>0.98773097537168952</v>
      </c>
      <c r="V44" s="16"/>
      <c r="W44" s="22">
        <f>M44/(1-O44*Q44)</f>
        <v>25066325.497265767</v>
      </c>
      <c r="X44" s="22">
        <f>Q44*M44/(1-O44*Q44)</f>
        <v>315835.70126554859</v>
      </c>
      <c r="Y44" s="22">
        <v>0</v>
      </c>
      <c r="Z44" s="18"/>
      <c r="AA44" s="17">
        <f>COS(RADIANS(C44))^2</f>
        <v>0.57808252091744217</v>
      </c>
      <c r="AB44" s="17">
        <f>SIN(RADIANS(C44))^2</f>
        <v>0.421917479082558</v>
      </c>
      <c r="AC44" s="17">
        <f>COS(RADIANS(C44))*SIN(RADIANS(C44))</f>
        <v>-0.49386548768584476</v>
      </c>
      <c r="AD44" s="16"/>
      <c r="AE44" s="22" cm="1">
        <f t="array" ref="AE44:AG46">MMULT(MMULT(S44:U46,W44:Y46),AA44:AC46)</f>
        <v>9432594.329546608</v>
      </c>
      <c r="AF44" s="22">
        <v>6008201.2571356492</v>
      </c>
      <c r="AG44" s="22">
        <v>-6718305.2520292411</v>
      </c>
      <c r="AH44" s="23"/>
      <c r="AI44" s="22" cm="1">
        <f t="array" ref="AI44:AK46">G44*(_xlfn.ANCHORARRAY(AE44))</f>
        <v>165070.40076706564</v>
      </c>
      <c r="AJ44" s="22">
        <v>105143.52199987388</v>
      </c>
      <c r="AK44" s="22">
        <v>-117570.34191051174</v>
      </c>
      <c r="AM44" s="52" cm="1">
        <f t="array" ref="AM44:AM46">MMULT(AA44:AC46,_xlfn.ANCHORARRAY($F$91))</f>
        <v>7.5386108911843169E-4</v>
      </c>
      <c r="AO44" s="53" cm="1">
        <f t="array" ref="AO44:AO46">MMULT(W44:Y46,_xlfn.ANCHORARRAY($AM44))</f>
        <v>19222.783381557521</v>
      </c>
      <c r="AV44" s="46"/>
      <c r="AZ44" s="46"/>
    </row>
    <row r="45" spans="1:52" ht="13.8" customHeight="1" x14ac:dyDescent="0.3">
      <c r="A45" s="34"/>
      <c r="B45" s="39"/>
      <c r="C45" s="40"/>
      <c r="D45" s="40"/>
      <c r="E45" s="40"/>
      <c r="F45" s="40"/>
      <c r="G45" s="40"/>
      <c r="I45" s="12"/>
      <c r="J45" s="12"/>
      <c r="K45" s="12"/>
      <c r="S45" s="17">
        <f>SIN(RADIANS(C44))^2</f>
        <v>0.421917479082558</v>
      </c>
      <c r="T45" s="17">
        <f>COS(RADIANS(C44))^2</f>
        <v>0.57808252091744217</v>
      </c>
      <c r="U45" s="17">
        <f>2*COS(RADIANS(C44))*SIN(RADIANS(C44))</f>
        <v>-0.98773097537168952</v>
      </c>
      <c r="V45" s="16" t="s">
        <v>31</v>
      </c>
      <c r="W45" s="22">
        <f>O44*N44/(1-O44*Q44)</f>
        <v>315835.70126554865</v>
      </c>
      <c r="X45" s="22">
        <f>N44/(1-O44*Q44)</f>
        <v>1503979.5298359459</v>
      </c>
      <c r="Y45" s="22">
        <v>0</v>
      </c>
      <c r="Z45" s="18" t="s">
        <v>31</v>
      </c>
      <c r="AA45" s="17">
        <f>AB44</f>
        <v>0.421917479082558</v>
      </c>
      <c r="AB45" s="17">
        <f>AA44</f>
        <v>0.57808252091744217</v>
      </c>
      <c r="AC45" s="17">
        <f>-COS(RADIANS(C44))*SIN(RADIANS(C44))</f>
        <v>0.49386548768584476</v>
      </c>
      <c r="AD45" s="16" t="str">
        <f>"="</f>
        <v>=</v>
      </c>
      <c r="AE45" s="22">
        <v>6008201.2571356492</v>
      </c>
      <c r="AF45" s="22">
        <v>5752979.5858149156</v>
      </c>
      <c r="AG45" s="22">
        <v>-4918324.2301980881</v>
      </c>
      <c r="AH45" s="23" t="str">
        <f>"==&gt;"</f>
        <v>==&gt;</v>
      </c>
      <c r="AI45" s="22">
        <v>105143.52199987388</v>
      </c>
      <c r="AJ45" s="22">
        <v>100677.14275176103</v>
      </c>
      <c r="AK45" s="22">
        <v>-86070.674028466543</v>
      </c>
      <c r="AM45" s="52">
        <v>1.0329925992670682E-3</v>
      </c>
      <c r="AO45" s="53">
        <v>1791.6959695082271</v>
      </c>
      <c r="AV45" s="46"/>
      <c r="AZ45" s="46"/>
    </row>
    <row r="46" spans="1:52" ht="13.8" customHeight="1" x14ac:dyDescent="0.3">
      <c r="A46" s="34"/>
      <c r="B46" s="41"/>
      <c r="I46" s="54">
        <f>AM44</f>
        <v>7.5386108911843169E-4</v>
      </c>
      <c r="J46" s="54">
        <f>AM45</f>
        <v>1.0329925992670682E-3</v>
      </c>
      <c r="K46" s="54">
        <f>AM46</f>
        <v>-1.7654837186135085E-3</v>
      </c>
      <c r="M46" s="10">
        <f>_xlfn.XLOOKUP($B44,Materials!$B$2:$H$2,Materials!$B$10:$H$10,"## ##")</f>
        <v>305000</v>
      </c>
      <c r="N46" s="10">
        <f>_xlfn.XLOOKUP($B44,Materials!$B$2:$H$2,Materials!$B$11:$H$11,"## ##")</f>
        <v>6500</v>
      </c>
      <c r="O46" s="10">
        <f>_xlfn.XLOOKUP($B44,Materials!$B$2:$H$2,Materials!$B$12:$H$12,"## ##")</f>
        <v>14000</v>
      </c>
      <c r="P46" s="10">
        <f>_xlfn.XLOOKUP($B44,Materials!$B$2:$H$2,Materials!$B$13:$H$13,"## ##")</f>
        <v>1.7000000000000001E-2</v>
      </c>
      <c r="Q46" s="10">
        <f>_xlfn.XLOOKUP($B44,Materials!$B$2:$H$2,Materials!$B$14:$H$14,"## ##")</f>
        <v>0</v>
      </c>
      <c r="S46" s="17">
        <f>COS(RADIANS(C44))*SIN(RADIANS(C44))</f>
        <v>-0.49386548768584476</v>
      </c>
      <c r="T46" s="17">
        <f>-COS(RADIANS(C44))*SIN(RADIANS(C44))</f>
        <v>0.49386548768584476</v>
      </c>
      <c r="U46" s="17">
        <f>COS(RADIANS(C44))^2-SIN(RADIANS(C44))^2</f>
        <v>0.15616504183488417</v>
      </c>
      <c r="V46" s="16"/>
      <c r="W46" s="22">
        <v>0</v>
      </c>
      <c r="X46" s="22">
        <v>0</v>
      </c>
      <c r="Y46" s="22">
        <f>P44</f>
        <v>650000</v>
      </c>
      <c r="Z46" s="18"/>
      <c r="AA46" s="17">
        <f>-2*COS(RADIANS(C44))*SIN(RADIANS(C44))</f>
        <v>0.98773097537168952</v>
      </c>
      <c r="AB46" s="17">
        <f>-AA46</f>
        <v>-0.98773097537168952</v>
      </c>
      <c r="AC46" s="17">
        <f>COS(RADIANS(C44))^2-SIN(RADIANS(C44))^2</f>
        <v>0.15616504183488417</v>
      </c>
      <c r="AD46" s="16"/>
      <c r="AE46" s="22">
        <v>-6718305.2520292411</v>
      </c>
      <c r="AF46" s="22">
        <v>-4918324.2301980881</v>
      </c>
      <c r="AG46" s="22">
        <v>6342365.555870099</v>
      </c>
      <c r="AH46" s="23"/>
      <c r="AI46" s="22">
        <v>-117570.34191051174</v>
      </c>
      <c r="AJ46" s="22">
        <v>-86070.674028466543</v>
      </c>
      <c r="AK46" s="22">
        <v>110991.39722772675</v>
      </c>
      <c r="AM46" s="52">
        <v>-1.7654837186135085E-3</v>
      </c>
      <c r="AO46" s="53">
        <v>-1147.5644170987805</v>
      </c>
      <c r="AV46" s="46"/>
      <c r="AZ46" s="46"/>
    </row>
    <row r="47" spans="1:52" ht="13.8" customHeight="1" x14ac:dyDescent="0.3">
      <c r="A47" s="34"/>
      <c r="AV47" s="46"/>
      <c r="AZ47" s="46"/>
    </row>
    <row r="48" spans="1:52" ht="13.8" customHeight="1" x14ac:dyDescent="0.3">
      <c r="A48" s="34">
        <v>5</v>
      </c>
      <c r="B48" s="5">
        <f>E13</f>
        <v>1</v>
      </c>
      <c r="C48" s="5">
        <f>F13</f>
        <v>52.504721744195514</v>
      </c>
      <c r="D48" s="3" t="str">
        <f>_xlfn.XLOOKUP($B48,Materials!$B$2:$H$2,Materials!$B$3:$H$3,"## ##")</f>
        <v>T700S/UF3325</v>
      </c>
      <c r="E48" s="9">
        <f>_xlfn.XLOOKUP(B48,Materials!$B$2:$H$2,Materials!B$17:H$17,"## ##")</f>
        <v>8.7500000000000008E-3</v>
      </c>
      <c r="F48" s="7">
        <f>G13</f>
        <v>0.44</v>
      </c>
      <c r="G48" s="9">
        <f>E48/(1-F48)</f>
        <v>1.5625E-2</v>
      </c>
      <c r="I48" s="53">
        <f>AO48</f>
        <v>28405.620168060494</v>
      </c>
      <c r="J48" s="53">
        <f>AO49</f>
        <v>1350.8751636744805</v>
      </c>
      <c r="K48" s="53">
        <f>AO50</f>
        <v>1122.1812082016045</v>
      </c>
      <c r="M48" s="4">
        <f>_xlfn.XLOOKUP($B48,Materials!$B$2:$H$2,Materials!$B$5:$H$5,"## ##")</f>
        <v>25000000</v>
      </c>
      <c r="N48" s="4">
        <f>_xlfn.XLOOKUP($B48,Materials!B$2:H$2,Materials!B$6:H$6,"## ##")</f>
        <v>1500000</v>
      </c>
      <c r="O48" s="13">
        <f>_xlfn.XLOOKUP($B48,Materials!B$2:H$2,Materials!B$7:H$7,"## ##")</f>
        <v>0.21</v>
      </c>
      <c r="P48" s="4">
        <f>_xlfn.XLOOKUP($B48,Materials!B$2:H$2,Materials!B$8:H$8,"## ##")</f>
        <v>650000</v>
      </c>
      <c r="Q48" s="13">
        <f>(N48/M48)*O48</f>
        <v>1.2599999999999998E-2</v>
      </c>
      <c r="S48" s="17">
        <f>COS(RADIANS(C48))^2</f>
        <v>0.37051087727626059</v>
      </c>
      <c r="T48" s="17">
        <f>SIN(RADIANS(C48))^2</f>
        <v>0.62948912272373936</v>
      </c>
      <c r="U48" s="17">
        <f>-2*COS(RADIANS(C48))*SIN(RADIANS(C48))</f>
        <v>-0.96588315462324181</v>
      </c>
      <c r="V48" s="16"/>
      <c r="W48" s="22">
        <f>M48/(1-O48*Q48)</f>
        <v>25066325.497265767</v>
      </c>
      <c r="X48" s="22">
        <f>Q48*M48/(1-O48*Q48)</f>
        <v>315835.70126554859</v>
      </c>
      <c r="Y48" s="22">
        <v>0</v>
      </c>
      <c r="Z48" s="18"/>
      <c r="AA48" s="17">
        <f>COS(RADIANS(C48))^2</f>
        <v>0.37051087727626059</v>
      </c>
      <c r="AB48" s="17">
        <f>SIN(RADIANS(C48))^2</f>
        <v>0.62948912272373936</v>
      </c>
      <c r="AC48" s="17">
        <f>COS(RADIANS(C48))*SIN(RADIANS(C48))</f>
        <v>0.48294157731162091</v>
      </c>
      <c r="AD48" s="16"/>
      <c r="AE48" s="22" cm="1">
        <f t="array" ref="AE48:AG50">MMULT(MMULT(S48:U50,W48:Y50),AA48:AC50)</f>
        <v>4790755.5721379854</v>
      </c>
      <c r="AF48" s="22">
        <v>5759165.1340426924</v>
      </c>
      <c r="AG48" s="22">
        <v>4230120.9119790448</v>
      </c>
      <c r="AH48" s="23"/>
      <c r="AI48" s="22" cm="1">
        <f t="array" ref="AI48:AK50">G48*(_xlfn.ANCHORARRAY(AE48))</f>
        <v>74855.555814656022</v>
      </c>
      <c r="AJ48" s="22">
        <v>89986.955219417068</v>
      </c>
      <c r="AK48" s="22">
        <v>66095.639249672575</v>
      </c>
      <c r="AM48" s="52" cm="1">
        <f t="array" ref="AM48:AM50">MMULT(AA48:AC50,_xlfn.ANCHORARRAY($F$91))</f>
        <v>1.124877455347554E-3</v>
      </c>
      <c r="AO48" s="53" cm="1">
        <f t="array" ref="AO48:AO50">MMULT(W48:Y50,_xlfn.ANCHORARRAY($AM48))</f>
        <v>28405.620168060494</v>
      </c>
      <c r="AV48" s="46"/>
      <c r="AZ48" s="46"/>
    </row>
    <row r="49" spans="1:52" ht="13.8" customHeight="1" x14ac:dyDescent="0.3">
      <c r="A49" s="34"/>
      <c r="B49" s="39"/>
      <c r="C49" s="40"/>
      <c r="D49" s="40"/>
      <c r="E49" s="40"/>
      <c r="F49" s="40"/>
      <c r="G49" s="40"/>
      <c r="S49" s="17">
        <f>SIN(RADIANS(C48))^2</f>
        <v>0.62948912272373936</v>
      </c>
      <c r="T49" s="17">
        <f>COS(RADIANS(C48))^2</f>
        <v>0.37051087727626059</v>
      </c>
      <c r="U49" s="17">
        <f>2*COS(RADIANS(C48))*SIN(RADIANS(C48))</f>
        <v>0.96588315462324181</v>
      </c>
      <c r="V49" s="16" t="s">
        <v>31</v>
      </c>
      <c r="W49" s="22">
        <f>O48*N48/(1-O48*Q48)</f>
        <v>315835.70126554865</v>
      </c>
      <c r="X49" s="22">
        <f>N48/(1-O48*Q48)</f>
        <v>1503979.5298359459</v>
      </c>
      <c r="Y49" s="22">
        <v>0</v>
      </c>
      <c r="Z49" s="18" t="s">
        <v>31</v>
      </c>
      <c r="AA49" s="17">
        <f>AB48</f>
        <v>0.62948912272373936</v>
      </c>
      <c r="AB49" s="17">
        <f>AA48</f>
        <v>0.37051087727626059</v>
      </c>
      <c r="AC49" s="17">
        <f>-COS(RADIANS(C48))*SIN(RADIANS(C48))</f>
        <v>-0.48294157731162091</v>
      </c>
      <c r="AD49" s="16" t="str">
        <f>"="</f>
        <v>=</v>
      </c>
      <c r="AE49" s="22">
        <v>5759165.1340426924</v>
      </c>
      <c r="AF49" s="22">
        <v>10892890.589409439</v>
      </c>
      <c r="AG49" s="22">
        <v>7149115.6146936221</v>
      </c>
      <c r="AH49" s="23" t="str">
        <f>"==&gt;"</f>
        <v>==&gt;</v>
      </c>
      <c r="AI49" s="22">
        <v>89986.955219417068</v>
      </c>
      <c r="AJ49" s="22">
        <v>170201.41545952248</v>
      </c>
      <c r="AK49" s="22">
        <v>111704.93147958785</v>
      </c>
      <c r="AM49" s="52">
        <v>6.6197623303794549E-4</v>
      </c>
      <c r="AO49" s="53">
        <v>1350.8751636744805</v>
      </c>
      <c r="AV49" s="46"/>
      <c r="AZ49" s="46"/>
    </row>
    <row r="50" spans="1:52" ht="13.8" customHeight="1" x14ac:dyDescent="0.3">
      <c r="A50" s="34"/>
      <c r="B50" s="41"/>
      <c r="I50" s="54">
        <f>AM48</f>
        <v>1.124877455347554E-3</v>
      </c>
      <c r="J50" s="54">
        <f>AM49</f>
        <v>6.6197623303794549E-4</v>
      </c>
      <c r="K50" s="54">
        <f>AM50</f>
        <v>1.7264326280024686E-3</v>
      </c>
      <c r="M50" s="10">
        <f>_xlfn.XLOOKUP($B48,Materials!$B$2:$H$2,Materials!$B$10:$H$10,"## ##")</f>
        <v>305000</v>
      </c>
      <c r="N50" s="10">
        <f>_xlfn.XLOOKUP($B48,Materials!$B$2:$H$2,Materials!$B$11:$H$11,"## ##")</f>
        <v>6500</v>
      </c>
      <c r="O50" s="10">
        <f>_xlfn.XLOOKUP($B48,Materials!$B$2:$H$2,Materials!$B$12:$H$12,"## ##")</f>
        <v>14000</v>
      </c>
      <c r="P50" s="10">
        <f>_xlfn.XLOOKUP($B48,Materials!$B$2:$H$2,Materials!$B$13:$H$13,"## ##")</f>
        <v>1.7000000000000001E-2</v>
      </c>
      <c r="Q50" s="10">
        <f>_xlfn.XLOOKUP($B48,Materials!$B$2:$H$2,Materials!$B$14:$H$14,"## ##")</f>
        <v>0</v>
      </c>
      <c r="S50" s="17">
        <f>COS(RADIANS(C48))*SIN(RADIANS(C48))</f>
        <v>0.48294157731162091</v>
      </c>
      <c r="T50" s="17">
        <f>-COS(RADIANS(C48))*SIN(RADIANS(C48))</f>
        <v>-0.48294157731162091</v>
      </c>
      <c r="U50" s="17">
        <f>COS(RADIANS(C48))^2-SIN(RADIANS(C48))^2</f>
        <v>-0.25897824544747877</v>
      </c>
      <c r="V50" s="16"/>
      <c r="W50" s="22">
        <v>0</v>
      </c>
      <c r="X50" s="22">
        <v>0</v>
      </c>
      <c r="Y50" s="22">
        <f>P48</f>
        <v>650000</v>
      </c>
      <c r="Z50" s="18"/>
      <c r="AA50" s="17">
        <f>-2*COS(RADIANS(C48))*SIN(RADIANS(C48))</f>
        <v>-0.96588315462324181</v>
      </c>
      <c r="AB50" s="17">
        <f>-AA50</f>
        <v>0.96588315462324181</v>
      </c>
      <c r="AC50" s="17">
        <f>COS(RADIANS(C48))^2-SIN(RADIANS(C48))^2</f>
        <v>-0.25897824544747877</v>
      </c>
      <c r="AD50" s="16"/>
      <c r="AE50" s="22">
        <v>4230120.9119790448</v>
      </c>
      <c r="AF50" s="22">
        <v>7149115.614693623</v>
      </c>
      <c r="AG50" s="22">
        <v>6093329.4327771431</v>
      </c>
      <c r="AH50" s="23"/>
      <c r="AI50" s="22">
        <v>66095.639249672575</v>
      </c>
      <c r="AJ50" s="22">
        <v>111704.93147958786</v>
      </c>
      <c r="AK50" s="22">
        <v>95208.272387142861</v>
      </c>
      <c r="AM50" s="52">
        <v>1.7264326280024686E-3</v>
      </c>
      <c r="AO50" s="53">
        <v>1122.1812082016045</v>
      </c>
      <c r="AV50" s="46"/>
      <c r="AZ50" s="46"/>
    </row>
    <row r="51" spans="1:52" ht="13.8" customHeight="1" x14ac:dyDescent="0.3">
      <c r="A51" s="34"/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V51" s="46"/>
      <c r="AZ51" s="46"/>
    </row>
    <row r="52" spans="1:52" ht="13.8" customHeight="1" x14ac:dyDescent="0.3">
      <c r="A52" s="34">
        <v>6</v>
      </c>
      <c r="B52" s="5">
        <f>E14</f>
        <v>1</v>
      </c>
      <c r="C52" s="5">
        <f>F14</f>
        <v>-52.504721744195514</v>
      </c>
      <c r="D52" s="3" t="str">
        <f>_xlfn.XLOOKUP($B52,Materials!$B$2:$H$2,Materials!$B$3:$H$3,"## ##")</f>
        <v>T700S/UF3325</v>
      </c>
      <c r="E52" s="9">
        <f>_xlfn.XLOOKUP(B52,Materials!$B$2:$H$2,Materials!B$17:H$17,"## ##")</f>
        <v>8.7500000000000008E-3</v>
      </c>
      <c r="F52" s="7">
        <f>G14</f>
        <v>0.44</v>
      </c>
      <c r="G52" s="9">
        <f>E52/(1-F52)</f>
        <v>1.5625E-2</v>
      </c>
      <c r="I52" s="53">
        <f>AO52</f>
        <v>28405.620168060494</v>
      </c>
      <c r="J52" s="53">
        <f>AO53</f>
        <v>1350.8751636744805</v>
      </c>
      <c r="K52" s="53">
        <f>AO54</f>
        <v>-1122.1812082016045</v>
      </c>
      <c r="M52" s="4">
        <f>_xlfn.XLOOKUP($B52,Materials!$B$2:$H$2,Materials!$B$5:$H$5,"## ##")</f>
        <v>25000000</v>
      </c>
      <c r="N52" s="4">
        <f>_xlfn.XLOOKUP($B52,Materials!B$2:H$2,Materials!B$6:H$6,"## ##")</f>
        <v>1500000</v>
      </c>
      <c r="O52" s="13">
        <f>_xlfn.XLOOKUP($B52,Materials!B$2:H$2,Materials!B$7:H$7,"## ##")</f>
        <v>0.21</v>
      </c>
      <c r="P52" s="4">
        <f>_xlfn.XLOOKUP($B52,Materials!B$2:H$2,Materials!B$8:H$8,"## ##")</f>
        <v>650000</v>
      </c>
      <c r="Q52" s="13">
        <f>(N52/M52)*O52</f>
        <v>1.2599999999999998E-2</v>
      </c>
      <c r="S52" s="17">
        <f>COS(RADIANS(C52))^2</f>
        <v>0.37051087727626059</v>
      </c>
      <c r="T52" s="17">
        <f>SIN(RADIANS(C52))^2</f>
        <v>0.62948912272373936</v>
      </c>
      <c r="U52" s="17">
        <f>-2*COS(RADIANS(C52))*SIN(RADIANS(C52))</f>
        <v>0.96588315462324181</v>
      </c>
      <c r="V52" s="16"/>
      <c r="W52" s="22">
        <f>M52/(1-O52*Q52)</f>
        <v>25066325.497265767</v>
      </c>
      <c r="X52" s="22">
        <f>Q52*M52/(1-O52*Q52)</f>
        <v>315835.70126554859</v>
      </c>
      <c r="Y52" s="22">
        <v>0</v>
      </c>
      <c r="Z52" s="18"/>
      <c r="AA52" s="17">
        <f>COS(RADIANS(C52))^2</f>
        <v>0.37051087727626059</v>
      </c>
      <c r="AB52" s="17">
        <f>SIN(RADIANS(C52))^2</f>
        <v>0.62948912272373936</v>
      </c>
      <c r="AC52" s="17">
        <f>COS(RADIANS(C52))*SIN(RADIANS(C52))</f>
        <v>-0.48294157731162091</v>
      </c>
      <c r="AD52" s="16"/>
      <c r="AE52" s="22" cm="1">
        <f t="array" ref="AE52:AG54">MMULT(MMULT(S52:U54,W52:Y54),AA52:AC54)</f>
        <v>4790755.5721379854</v>
      </c>
      <c r="AF52" s="22">
        <v>5759165.1340426924</v>
      </c>
      <c r="AG52" s="22">
        <v>-4230120.9119790448</v>
      </c>
      <c r="AH52" s="23"/>
      <c r="AI52" s="22" cm="1">
        <f t="array" ref="AI52:AK54">G52*(_xlfn.ANCHORARRAY(AE52))</f>
        <v>74855.555814656022</v>
      </c>
      <c r="AJ52" s="22">
        <v>89986.955219417068</v>
      </c>
      <c r="AK52" s="22">
        <v>-66095.639249672575</v>
      </c>
      <c r="AM52" s="52" cm="1">
        <f t="array" ref="AM52:AM54">MMULT(AA52:AC54,_xlfn.ANCHORARRAY($F$91))</f>
        <v>1.124877455347554E-3</v>
      </c>
      <c r="AO52" s="53" cm="1">
        <f t="array" ref="AO52:AO54">MMULT(W52:Y54,_xlfn.ANCHORARRAY($AM52))</f>
        <v>28405.620168060494</v>
      </c>
      <c r="AV52" s="46"/>
      <c r="AZ52" s="46"/>
    </row>
    <row r="53" spans="1:52" ht="13.8" customHeight="1" x14ac:dyDescent="0.3">
      <c r="A53" s="34"/>
      <c r="B53" s="39"/>
      <c r="C53" s="40"/>
      <c r="D53" s="40"/>
      <c r="E53" s="40"/>
      <c r="F53" s="40"/>
      <c r="G53" s="40"/>
      <c r="S53" s="17">
        <f>SIN(RADIANS(C52))^2</f>
        <v>0.62948912272373936</v>
      </c>
      <c r="T53" s="17">
        <f>COS(RADIANS(C52))^2</f>
        <v>0.37051087727626059</v>
      </c>
      <c r="U53" s="17">
        <f>2*COS(RADIANS(C52))*SIN(RADIANS(C52))</f>
        <v>-0.96588315462324181</v>
      </c>
      <c r="V53" s="16" t="s">
        <v>31</v>
      </c>
      <c r="W53" s="22">
        <f>O52*N52/(1-O52*Q52)</f>
        <v>315835.70126554865</v>
      </c>
      <c r="X53" s="22">
        <f>N52/(1-O52*Q52)</f>
        <v>1503979.5298359459</v>
      </c>
      <c r="Y53" s="22">
        <v>0</v>
      </c>
      <c r="Z53" s="18" t="s">
        <v>31</v>
      </c>
      <c r="AA53" s="17">
        <f>AB52</f>
        <v>0.62948912272373936</v>
      </c>
      <c r="AB53" s="17">
        <f>AA52</f>
        <v>0.37051087727626059</v>
      </c>
      <c r="AC53" s="17">
        <f>-COS(RADIANS(C52))*SIN(RADIANS(C52))</f>
        <v>0.48294157731162091</v>
      </c>
      <c r="AD53" s="16" t="str">
        <f>"="</f>
        <v>=</v>
      </c>
      <c r="AE53" s="22">
        <v>5759165.1340426924</v>
      </c>
      <c r="AF53" s="22">
        <v>10892890.589409439</v>
      </c>
      <c r="AG53" s="22">
        <v>-7149115.6146936221</v>
      </c>
      <c r="AH53" s="23" t="str">
        <f>"==&gt;"</f>
        <v>==&gt;</v>
      </c>
      <c r="AI53" s="22">
        <v>89986.955219417068</v>
      </c>
      <c r="AJ53" s="22">
        <v>170201.41545952248</v>
      </c>
      <c r="AK53" s="22">
        <v>-111704.93147958785</v>
      </c>
      <c r="AM53" s="52">
        <v>6.6197623303794549E-4</v>
      </c>
      <c r="AO53" s="53">
        <v>1350.8751636744805</v>
      </c>
      <c r="AV53" s="46"/>
      <c r="AZ53" s="46"/>
    </row>
    <row r="54" spans="1:52" ht="13.8" customHeight="1" x14ac:dyDescent="0.3">
      <c r="A54" s="34"/>
      <c r="B54" s="41"/>
      <c r="I54" s="54">
        <f>AM52</f>
        <v>1.124877455347554E-3</v>
      </c>
      <c r="J54" s="54">
        <f>AM53</f>
        <v>6.6197623303794549E-4</v>
      </c>
      <c r="K54" s="54">
        <f>AM54</f>
        <v>-1.7264326280024686E-3</v>
      </c>
      <c r="M54" s="10">
        <f>_xlfn.XLOOKUP($B52,Materials!$B$2:$H$2,Materials!$B$10:$H$10,"## ##")</f>
        <v>305000</v>
      </c>
      <c r="N54" s="10">
        <f>_xlfn.XLOOKUP($B52,Materials!$B$2:$H$2,Materials!$B$11:$H$11,"## ##")</f>
        <v>6500</v>
      </c>
      <c r="O54" s="10">
        <f>_xlfn.XLOOKUP($B52,Materials!$B$2:$H$2,Materials!$B$12:$H$12,"## ##")</f>
        <v>14000</v>
      </c>
      <c r="P54" s="10">
        <f>_xlfn.XLOOKUP($B52,Materials!$B$2:$H$2,Materials!$B$13:$H$13,"## ##")</f>
        <v>1.7000000000000001E-2</v>
      </c>
      <c r="Q54" s="10">
        <f>_xlfn.XLOOKUP($B52,Materials!$B$2:$H$2,Materials!$B$14:$H$14,"## ##")</f>
        <v>0</v>
      </c>
      <c r="S54" s="17">
        <f>COS(RADIANS(C52))*SIN(RADIANS(C52))</f>
        <v>-0.48294157731162091</v>
      </c>
      <c r="T54" s="17">
        <f>-COS(RADIANS(C52))*SIN(RADIANS(C52))</f>
        <v>0.48294157731162091</v>
      </c>
      <c r="U54" s="17">
        <f>COS(RADIANS(C52))^2-SIN(RADIANS(C52))^2</f>
        <v>-0.25897824544747877</v>
      </c>
      <c r="V54" s="16"/>
      <c r="W54" s="22">
        <v>0</v>
      </c>
      <c r="X54" s="22">
        <v>0</v>
      </c>
      <c r="Y54" s="22">
        <f>P52</f>
        <v>650000</v>
      </c>
      <c r="Z54" s="18"/>
      <c r="AA54" s="17">
        <f>-2*COS(RADIANS(C52))*SIN(RADIANS(C52))</f>
        <v>0.96588315462324181</v>
      </c>
      <c r="AB54" s="17">
        <f>-AA54</f>
        <v>-0.96588315462324181</v>
      </c>
      <c r="AC54" s="17">
        <f>COS(RADIANS(C52))^2-SIN(RADIANS(C52))^2</f>
        <v>-0.25897824544747877</v>
      </c>
      <c r="AD54" s="16"/>
      <c r="AE54" s="22">
        <v>-4230120.9119790448</v>
      </c>
      <c r="AF54" s="22">
        <v>-7149115.614693623</v>
      </c>
      <c r="AG54" s="22">
        <v>6093329.4327771431</v>
      </c>
      <c r="AH54" s="23"/>
      <c r="AI54" s="22">
        <v>-66095.639249672575</v>
      </c>
      <c r="AJ54" s="22">
        <v>-111704.93147958786</v>
      </c>
      <c r="AK54" s="22">
        <v>95208.272387142861</v>
      </c>
      <c r="AM54" s="52">
        <v>-1.7264326280024686E-3</v>
      </c>
      <c r="AO54" s="53">
        <v>-1122.1812082016045</v>
      </c>
      <c r="AV54" s="46"/>
      <c r="AZ54" s="46"/>
    </row>
    <row r="55" spans="1:52" ht="13.8" customHeight="1" x14ac:dyDescent="0.3">
      <c r="A55" s="34"/>
    </row>
    <row r="56" spans="1:52" ht="13.8" customHeight="1" x14ac:dyDescent="0.3">
      <c r="A56" s="34">
        <v>7</v>
      </c>
      <c r="B56" s="5">
        <f>E15</f>
        <v>1</v>
      </c>
      <c r="C56" s="5">
        <f>F15</f>
        <v>67.900000000000006</v>
      </c>
      <c r="D56" s="3" t="str">
        <f>_xlfn.XLOOKUP($B56,Materials!$B$2:$H$2,Materials!$B$3:$H$3,"## ##")</f>
        <v>T700S/UF3325</v>
      </c>
      <c r="E56" s="9">
        <f>_xlfn.XLOOKUP(B56,Materials!$B$2:$H$2,Materials!B$17:H$17,"## ##")</f>
        <v>8.7500000000000008E-3</v>
      </c>
      <c r="F56" s="7">
        <f>G15</f>
        <v>0.5</v>
      </c>
      <c r="G56" s="9">
        <f>E56/(1-F56)</f>
        <v>1.7500000000000002E-2</v>
      </c>
      <c r="I56" s="53">
        <f>AO56</f>
        <v>38534.937611432295</v>
      </c>
      <c r="J56" s="53">
        <f>AO57</f>
        <v>864.61868523025953</v>
      </c>
      <c r="K56" s="53">
        <f>AO58</f>
        <v>809.9795236024147</v>
      </c>
      <c r="M56" s="4">
        <f>_xlfn.XLOOKUP($B56,Materials!$B$2:$H$2,Materials!$B$5:$H$5,"## ##")</f>
        <v>25000000</v>
      </c>
      <c r="N56" s="4">
        <f>_xlfn.XLOOKUP($B56,Materials!B$2:H$2,Materials!B$6:H$6,"## ##")</f>
        <v>1500000</v>
      </c>
      <c r="O56" s="13">
        <f>_xlfn.XLOOKUP($B56,Materials!B$2:H$2,Materials!B$7:H$7,"## ##")</f>
        <v>0.21</v>
      </c>
      <c r="P56" s="4">
        <f>_xlfn.XLOOKUP($B56,Materials!B$2:H$2,Materials!B$8:H$8,"## ##")</f>
        <v>650000</v>
      </c>
      <c r="Q56" s="13">
        <f>(N56/M56)*O56</f>
        <v>1.2599999999999998E-2</v>
      </c>
      <c r="S56" s="17">
        <f>COS(RADIANS(C56))^2</f>
        <v>0.14154469617475846</v>
      </c>
      <c r="T56" s="17">
        <f>SIN(RADIANS(C56))^2</f>
        <v>0.85845530382524138</v>
      </c>
      <c r="U56" s="17">
        <f>-2*COS(RADIANS(C56))*SIN(RADIANS(C56))</f>
        <v>-0.69716510285456423</v>
      </c>
      <c r="V56" s="16"/>
      <c r="W56" s="22">
        <f>M56/(1-O56*Q56)</f>
        <v>25066325.497265767</v>
      </c>
      <c r="X56" s="22">
        <f>Q56*M56/(1-O56*Q56)</f>
        <v>315835.70126554859</v>
      </c>
      <c r="Y56" s="22">
        <v>0</v>
      </c>
      <c r="Z56" s="18"/>
      <c r="AA56" s="17">
        <f>COS(RADIANS(C56))^2</f>
        <v>0.14154469617475846</v>
      </c>
      <c r="AB56" s="17">
        <f>SIN(RADIANS(C56))^2</f>
        <v>0.85845530382524138</v>
      </c>
      <c r="AC56" s="17">
        <f>COS(RADIANS(C56))*SIN(RADIANS(C56))</f>
        <v>0.34858255142728212</v>
      </c>
      <c r="AD56" s="16"/>
      <c r="AE56" s="22" cm="1">
        <f t="array" ref="AE56:AG58">MMULT(MMULT(S56:U58,W56:Y58),AA56:AC58)</f>
        <v>2003232.0399348952</v>
      </c>
      <c r="AF56" s="22">
        <v>3151708.2922909977</v>
      </c>
      <c r="AG56" s="22">
        <v>1190519.5571767951</v>
      </c>
      <c r="AH56" s="23"/>
      <c r="AI56" s="22" cm="1">
        <f t="array" ref="AI56:AK58">G56*(_xlfn.ANCHORARRAY(AE56))</f>
        <v>35056.560698860667</v>
      </c>
      <c r="AJ56" s="22">
        <v>55154.895115092462</v>
      </c>
      <c r="AK56" s="22">
        <v>20834.092250593916</v>
      </c>
      <c r="AM56" s="52" cm="1">
        <f t="array" ref="AM56:AM58">MMULT(AA56:AC58,_xlfn.ANCHORARRAY($F$91))</f>
        <v>1.5341347075013573E-3</v>
      </c>
      <c r="AO56" s="53" cm="1">
        <f t="array" ref="AO56:AO58">MMULT(W56:Y58,_xlfn.ANCHORARRAY($AM56))</f>
        <v>38534.937611432295</v>
      </c>
    </row>
    <row r="57" spans="1:52" ht="13.8" customHeight="1" x14ac:dyDescent="0.3">
      <c r="A57" s="34"/>
      <c r="B57" s="39"/>
      <c r="C57" s="40"/>
      <c r="D57" s="40"/>
      <c r="E57" s="40"/>
      <c r="F57" s="40"/>
      <c r="G57" s="40"/>
      <c r="S57" s="17">
        <f>SIN(RADIANS(C56))^2</f>
        <v>0.85845530382524138</v>
      </c>
      <c r="T57" s="17">
        <f>COS(RADIANS(C56))^2</f>
        <v>0.14154469617475846</v>
      </c>
      <c r="U57" s="17">
        <f>2*COS(RADIANS(C56))*SIN(RADIANS(C56))</f>
        <v>0.69716510285456423</v>
      </c>
      <c r="V57" s="16" t="s">
        <v>31</v>
      </c>
      <c r="W57" s="22">
        <f>O56*N56/(1-O56*Q56)</f>
        <v>315835.70126554865</v>
      </c>
      <c r="X57" s="22">
        <f>N56/(1-O56*Q56)</f>
        <v>1503979.5298359459</v>
      </c>
      <c r="Y57" s="22">
        <v>0</v>
      </c>
      <c r="Z57" s="18" t="s">
        <v>31</v>
      </c>
      <c r="AA57" s="17">
        <f>AB56</f>
        <v>0.85845530382524138</v>
      </c>
      <c r="AB57" s="17">
        <f>AA56</f>
        <v>0.14154469617475846</v>
      </c>
      <c r="AC57" s="17">
        <f>-COS(RADIANS(C56))*SIN(RADIANS(C56))</f>
        <v>-0.34858255142728212</v>
      </c>
      <c r="AD57" s="16" t="str">
        <f>"="</f>
        <v>=</v>
      </c>
      <c r="AE57" s="22">
        <v>3151708.2922909977</v>
      </c>
      <c r="AF57" s="22">
        <v>18895327.805115912</v>
      </c>
      <c r="AG57" s="22">
        <v>7022903.1177622229</v>
      </c>
      <c r="AH57" s="23" t="str">
        <f>"==&gt;"</f>
        <v>==&gt;</v>
      </c>
      <c r="AI57" s="22">
        <v>55154.895115092462</v>
      </c>
      <c r="AJ57" s="22">
        <v>330668.2365895285</v>
      </c>
      <c r="AK57" s="22">
        <v>122900.80456083891</v>
      </c>
      <c r="AM57" s="52">
        <v>2.5271898088414179E-4</v>
      </c>
      <c r="AO57" s="53">
        <v>864.61868523025953</v>
      </c>
    </row>
    <row r="58" spans="1:52" ht="13.8" customHeight="1" x14ac:dyDescent="0.3">
      <c r="A58" s="34"/>
      <c r="B58" s="41"/>
      <c r="I58" s="54">
        <f>AM56</f>
        <v>1.5341347075013573E-3</v>
      </c>
      <c r="J58" s="54">
        <f>AM57</f>
        <v>2.5271898088414179E-4</v>
      </c>
      <c r="K58" s="54">
        <f>AM58</f>
        <v>1.246122344003715E-3</v>
      </c>
      <c r="M58" s="10">
        <f>_xlfn.XLOOKUP($B56,Materials!$B$2:$H$2,Materials!$B$10:$H$10,"## ##")</f>
        <v>305000</v>
      </c>
      <c r="N58" s="10">
        <f>_xlfn.XLOOKUP($B56,Materials!$B$2:$H$2,Materials!$B$11:$H$11,"## ##")</f>
        <v>6500</v>
      </c>
      <c r="O58" s="10">
        <f>_xlfn.XLOOKUP($B56,Materials!$B$2:$H$2,Materials!$B$12:$H$12,"## ##")</f>
        <v>14000</v>
      </c>
      <c r="P58" s="10">
        <f>_xlfn.XLOOKUP($B56,Materials!$B$2:$H$2,Materials!$B$13:$H$13,"## ##")</f>
        <v>1.7000000000000001E-2</v>
      </c>
      <c r="Q58" s="10">
        <f>_xlfn.XLOOKUP($B56,Materials!$B$2:$H$2,Materials!$B$14:$H$14,"## ##")</f>
        <v>0</v>
      </c>
      <c r="S58" s="17">
        <f>COS(RADIANS(C56))*SIN(RADIANS(C56))</f>
        <v>0.34858255142728212</v>
      </c>
      <c r="T58" s="17">
        <f>-COS(RADIANS(C56))*SIN(RADIANS(C56))</f>
        <v>-0.34858255142728212</v>
      </c>
      <c r="U58" s="17">
        <f>COS(RADIANS(C56))^2-SIN(RADIANS(C56))^2</f>
        <v>-0.71691060765048298</v>
      </c>
      <c r="V58" s="16"/>
      <c r="W58" s="22">
        <v>0</v>
      </c>
      <c r="X58" s="22">
        <v>0</v>
      </c>
      <c r="Y58" s="22">
        <f>P56</f>
        <v>650000</v>
      </c>
      <c r="Z58" s="18"/>
      <c r="AA58" s="17">
        <f>-2*COS(RADIANS(C56))*SIN(RADIANS(C56))</f>
        <v>-0.69716510285456423</v>
      </c>
      <c r="AB58" s="17">
        <f>-AA58</f>
        <v>0.69716510285456423</v>
      </c>
      <c r="AC58" s="17">
        <f>COS(RADIANS(C56))^2-SIN(RADIANS(C56))^2</f>
        <v>-0.71691060765048298</v>
      </c>
      <c r="AD58" s="16"/>
      <c r="AE58" s="22">
        <v>1190519.5571767951</v>
      </c>
      <c r="AF58" s="22">
        <v>7022903.1177622238</v>
      </c>
      <c r="AG58" s="22">
        <v>3485872.5910254503</v>
      </c>
      <c r="AH58" s="23"/>
      <c r="AI58" s="22">
        <v>20834.092250593916</v>
      </c>
      <c r="AJ58" s="22">
        <v>122900.80456083892</v>
      </c>
      <c r="AK58" s="22">
        <v>61002.770342945383</v>
      </c>
      <c r="AM58" s="52">
        <v>1.246122344003715E-3</v>
      </c>
      <c r="AO58" s="53">
        <v>809.9795236024147</v>
      </c>
    </row>
    <row r="59" spans="1:52" ht="13.8" customHeight="1" x14ac:dyDescent="0.3">
      <c r="A59" s="34"/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</row>
    <row r="60" spans="1:52" ht="13.8" customHeight="1" x14ac:dyDescent="0.3">
      <c r="A60" s="34">
        <v>8</v>
      </c>
      <c r="B60" s="5">
        <f>E16</f>
        <v>1</v>
      </c>
      <c r="C60" s="5">
        <f>F16</f>
        <v>-67.900000000000006</v>
      </c>
      <c r="D60" s="3" t="str">
        <f>_xlfn.XLOOKUP($B60,Materials!$B$2:$H$2,Materials!$B$3:$H$3,"## ##")</f>
        <v>T700S/UF3325</v>
      </c>
      <c r="E60" s="9">
        <f>_xlfn.XLOOKUP(B60,Materials!$B$2:$H$2,Materials!B$17:H$17,"## ##")</f>
        <v>8.7500000000000008E-3</v>
      </c>
      <c r="F60" s="7">
        <f>G16</f>
        <v>0.5</v>
      </c>
      <c r="G60" s="9">
        <f>E60/(1-F60)</f>
        <v>1.7500000000000002E-2</v>
      </c>
      <c r="I60" s="53">
        <f>AO60</f>
        <v>38534.937611432295</v>
      </c>
      <c r="J60" s="53">
        <f>AO61</f>
        <v>864.61868523025953</v>
      </c>
      <c r="K60" s="53">
        <f>AO62</f>
        <v>-809.9795236024147</v>
      </c>
      <c r="M60" s="4">
        <f>_xlfn.XLOOKUP($B60,Materials!$B$2:$H$2,Materials!$B$5:$H$5,"## ##")</f>
        <v>25000000</v>
      </c>
      <c r="N60" s="4">
        <f>_xlfn.XLOOKUP($B60,Materials!B$2:H$2,Materials!B$6:H$6,"## ##")</f>
        <v>1500000</v>
      </c>
      <c r="O60" s="13">
        <f>_xlfn.XLOOKUP($B60,Materials!B$2:H$2,Materials!B$7:H$7,"## ##")</f>
        <v>0.21</v>
      </c>
      <c r="P60" s="4">
        <f>_xlfn.XLOOKUP($B60,Materials!B$2:H$2,Materials!B$8:H$8,"## ##")</f>
        <v>650000</v>
      </c>
      <c r="Q60" s="13">
        <f>(N60/M60)*O60</f>
        <v>1.2599999999999998E-2</v>
      </c>
      <c r="S60" s="17">
        <f>COS(RADIANS(C60))^2</f>
        <v>0.14154469617475846</v>
      </c>
      <c r="T60" s="17">
        <f>SIN(RADIANS(C60))^2</f>
        <v>0.85845530382524138</v>
      </c>
      <c r="U60" s="17">
        <f>-2*COS(RADIANS(C60))*SIN(RADIANS(C60))</f>
        <v>0.69716510285456423</v>
      </c>
      <c r="V60" s="16"/>
      <c r="W60" s="22">
        <f>M60/(1-O60*Q60)</f>
        <v>25066325.497265767</v>
      </c>
      <c r="X60" s="22">
        <f>Q60*M60/(1-O60*Q60)</f>
        <v>315835.70126554859</v>
      </c>
      <c r="Y60" s="22">
        <v>0</v>
      </c>
      <c r="Z60" s="18"/>
      <c r="AA60" s="17">
        <f>COS(RADIANS(C60))^2</f>
        <v>0.14154469617475846</v>
      </c>
      <c r="AB60" s="17">
        <f>SIN(RADIANS(C60))^2</f>
        <v>0.85845530382524138</v>
      </c>
      <c r="AC60" s="17">
        <f>COS(RADIANS(C60))*SIN(RADIANS(C60))</f>
        <v>-0.34858255142728212</v>
      </c>
      <c r="AD60" s="16"/>
      <c r="AE60" s="22" cm="1">
        <f t="array" ref="AE60:AG62">MMULT(MMULT(S60:U62,W60:Y62),AA60:AC62)</f>
        <v>2003232.0399348952</v>
      </c>
      <c r="AF60" s="22">
        <v>3151708.2922909977</v>
      </c>
      <c r="AG60" s="22">
        <v>-1190519.5571767951</v>
      </c>
      <c r="AH60" s="23"/>
      <c r="AI60" s="22" cm="1">
        <f t="array" ref="AI60:AK62">G60*(_xlfn.ANCHORARRAY(AE60))</f>
        <v>35056.560698860667</v>
      </c>
      <c r="AJ60" s="22">
        <v>55154.895115092462</v>
      </c>
      <c r="AK60" s="22">
        <v>-20834.092250593916</v>
      </c>
      <c r="AM60" s="52" cm="1">
        <f t="array" ref="AM60:AM62">MMULT(AA60:AC62,_xlfn.ANCHORARRAY($F$91))</f>
        <v>1.5341347075013573E-3</v>
      </c>
      <c r="AO60" s="53" cm="1">
        <f t="array" ref="AO60:AO62">MMULT(W60:Y62,_xlfn.ANCHORARRAY($AM60))</f>
        <v>38534.937611432295</v>
      </c>
    </row>
    <row r="61" spans="1:52" ht="13.8" customHeight="1" x14ac:dyDescent="0.3">
      <c r="A61" s="34"/>
      <c r="B61" s="39"/>
      <c r="C61" s="40"/>
      <c r="D61" s="40"/>
      <c r="E61" s="40"/>
      <c r="F61" s="40"/>
      <c r="G61" s="40"/>
      <c r="S61" s="17">
        <f>SIN(RADIANS(C60))^2</f>
        <v>0.85845530382524138</v>
      </c>
      <c r="T61" s="17">
        <f>COS(RADIANS(C60))^2</f>
        <v>0.14154469617475846</v>
      </c>
      <c r="U61" s="17">
        <f>2*COS(RADIANS(C60))*SIN(RADIANS(C60))</f>
        <v>-0.69716510285456423</v>
      </c>
      <c r="V61" s="16" t="s">
        <v>31</v>
      </c>
      <c r="W61" s="22">
        <f>O60*N60/(1-O60*Q60)</f>
        <v>315835.70126554865</v>
      </c>
      <c r="X61" s="22">
        <f>N60/(1-O60*Q60)</f>
        <v>1503979.5298359459</v>
      </c>
      <c r="Y61" s="22">
        <v>0</v>
      </c>
      <c r="Z61" s="18" t="s">
        <v>31</v>
      </c>
      <c r="AA61" s="17">
        <f>AB60</f>
        <v>0.85845530382524138</v>
      </c>
      <c r="AB61" s="17">
        <f>AA60</f>
        <v>0.14154469617475846</v>
      </c>
      <c r="AC61" s="17">
        <f>-COS(RADIANS(C60))*SIN(RADIANS(C60))</f>
        <v>0.34858255142728212</v>
      </c>
      <c r="AD61" s="16" t="str">
        <f>"="</f>
        <v>=</v>
      </c>
      <c r="AE61" s="22">
        <v>3151708.2922909977</v>
      </c>
      <c r="AF61" s="22">
        <v>18895327.805115912</v>
      </c>
      <c r="AG61" s="22">
        <v>-7022903.1177622229</v>
      </c>
      <c r="AH61" s="23" t="str">
        <f>"==&gt;"</f>
        <v>==&gt;</v>
      </c>
      <c r="AI61" s="22">
        <v>55154.895115092462</v>
      </c>
      <c r="AJ61" s="22">
        <v>330668.2365895285</v>
      </c>
      <c r="AK61" s="22">
        <v>-122900.80456083891</v>
      </c>
      <c r="AM61" s="52">
        <v>2.5271898088414179E-4</v>
      </c>
      <c r="AO61" s="53">
        <v>864.61868523025953</v>
      </c>
    </row>
    <row r="62" spans="1:52" ht="13.8" customHeight="1" x14ac:dyDescent="0.3">
      <c r="A62" s="34"/>
      <c r="B62" s="41"/>
      <c r="I62" s="54">
        <f>AM60</f>
        <v>1.5341347075013573E-3</v>
      </c>
      <c r="J62" s="54">
        <f>AM61</f>
        <v>2.5271898088414179E-4</v>
      </c>
      <c r="K62" s="54">
        <f>AM62</f>
        <v>-1.246122344003715E-3</v>
      </c>
      <c r="M62" s="10">
        <f>_xlfn.XLOOKUP($B60,Materials!$B$2:$H$2,Materials!$B$10:$H$10,"## ##")</f>
        <v>305000</v>
      </c>
      <c r="N62" s="10">
        <f>_xlfn.XLOOKUP($B60,Materials!$B$2:$H$2,Materials!$B$11:$H$11,"## ##")</f>
        <v>6500</v>
      </c>
      <c r="O62" s="10">
        <f>_xlfn.XLOOKUP($B60,Materials!$B$2:$H$2,Materials!$B$12:$H$12,"## ##")</f>
        <v>14000</v>
      </c>
      <c r="P62" s="10">
        <f>_xlfn.XLOOKUP($B60,Materials!$B$2:$H$2,Materials!$B$13:$H$13,"## ##")</f>
        <v>1.7000000000000001E-2</v>
      </c>
      <c r="Q62" s="10">
        <f>_xlfn.XLOOKUP($B60,Materials!$B$2:$H$2,Materials!$B$14:$H$14,"## ##")</f>
        <v>0</v>
      </c>
      <c r="S62" s="17">
        <f>COS(RADIANS(C60))*SIN(RADIANS(C60))</f>
        <v>-0.34858255142728212</v>
      </c>
      <c r="T62" s="17">
        <f>-COS(RADIANS(C60))*SIN(RADIANS(C60))</f>
        <v>0.34858255142728212</v>
      </c>
      <c r="U62" s="17">
        <f>COS(RADIANS(C60))^2-SIN(RADIANS(C60))^2</f>
        <v>-0.71691060765048298</v>
      </c>
      <c r="V62" s="16"/>
      <c r="W62" s="22">
        <v>0</v>
      </c>
      <c r="X62" s="22">
        <v>0</v>
      </c>
      <c r="Y62" s="22">
        <f>P60</f>
        <v>650000</v>
      </c>
      <c r="Z62" s="18"/>
      <c r="AA62" s="17">
        <f>-2*COS(RADIANS(C60))*SIN(RADIANS(C60))</f>
        <v>0.69716510285456423</v>
      </c>
      <c r="AB62" s="17">
        <f>-AA62</f>
        <v>-0.69716510285456423</v>
      </c>
      <c r="AC62" s="17">
        <f>COS(RADIANS(C60))^2-SIN(RADIANS(C60))^2</f>
        <v>-0.71691060765048298</v>
      </c>
      <c r="AD62" s="16"/>
      <c r="AE62" s="22">
        <v>-1190519.5571767951</v>
      </c>
      <c r="AF62" s="22">
        <v>-7022903.1177622238</v>
      </c>
      <c r="AG62" s="22">
        <v>3485872.5910254503</v>
      </c>
      <c r="AH62" s="23"/>
      <c r="AI62" s="22">
        <v>-20834.092250593916</v>
      </c>
      <c r="AJ62" s="22">
        <v>-122900.80456083892</v>
      </c>
      <c r="AK62" s="22">
        <v>61002.770342945383</v>
      </c>
      <c r="AM62" s="52">
        <v>-1.246122344003715E-3</v>
      </c>
      <c r="AO62" s="53">
        <v>-809.9795236024147</v>
      </c>
    </row>
    <row r="63" spans="1:52" ht="13.8" customHeight="1" x14ac:dyDescent="0.3">
      <c r="A63" s="34"/>
    </row>
    <row r="64" spans="1:52" ht="13.8" customHeight="1" x14ac:dyDescent="0.3">
      <c r="A64" s="34">
        <v>9</v>
      </c>
      <c r="B64" s="5">
        <f>E17</f>
        <v>0</v>
      </c>
      <c r="C64" s="5">
        <f>F17</f>
        <v>89</v>
      </c>
      <c r="D64" s="3" t="str">
        <f>_xlfn.XLOOKUP($B64,Materials!$B$2:$H$2,Materials!$B$3:$H$3,"## ##")</f>
        <v>NULL</v>
      </c>
      <c r="E64" s="9">
        <f>_xlfn.XLOOKUP(B64,Materials!$B$2:$H$2,Materials!B$17:H$17,"## ##")</f>
        <v>0</v>
      </c>
      <c r="F64" s="7">
        <f>G17</f>
        <v>0</v>
      </c>
      <c r="G64" s="9">
        <f>E64/(1-F64)</f>
        <v>0</v>
      </c>
      <c r="I64" s="53">
        <f>AO64</f>
        <v>1.9633720228689924E-3</v>
      </c>
      <c r="J64" s="53">
        <f>AO65</f>
        <v>5.8927610339600727E-4</v>
      </c>
      <c r="K64" s="53">
        <f>AO66</f>
        <v>6.2379832922507746E-5</v>
      </c>
      <c r="M64" s="4">
        <f>_xlfn.XLOOKUP($B64,Materials!$B$2:$H$2,Materials!$B$5:$H$5,"## ##")</f>
        <v>1</v>
      </c>
      <c r="N64" s="4">
        <f>_xlfn.XLOOKUP($B64,Materials!B$2:H$2,Materials!B$6:H$6,"## ##")</f>
        <v>1</v>
      </c>
      <c r="O64" s="13">
        <f>_xlfn.XLOOKUP($B64,Materials!B$2:H$2,Materials!B$7:H$7,"## ##")</f>
        <v>0.3</v>
      </c>
      <c r="P64" s="4">
        <f>_xlfn.XLOOKUP($B64,Materials!B$2:H$2,Materials!B$8:H$8,"## ##")</f>
        <v>1</v>
      </c>
      <c r="Q64" s="13">
        <f>(N64/M64)*O64</f>
        <v>0.3</v>
      </c>
      <c r="S64" s="17">
        <f>COS(RADIANS(C64))^2</f>
        <v>3.0458649045213797E-4</v>
      </c>
      <c r="T64" s="17">
        <f>SIN(RADIANS(C64))^2</f>
        <v>0.99969541350954794</v>
      </c>
      <c r="U64" s="17">
        <f>-2*COS(RADIANS(C64))*SIN(RADIANS(C64))</f>
        <v>-3.4899496702501143E-2</v>
      </c>
      <c r="V64" s="16"/>
      <c r="W64" s="22">
        <f>M64/(1-O64*Q64)</f>
        <v>1.0989010989010988</v>
      </c>
      <c r="X64" s="22">
        <f>Q64*M64/(1-O64*Q64)</f>
        <v>0.32967032967032966</v>
      </c>
      <c r="Y64" s="22">
        <v>0</v>
      </c>
      <c r="Z64" s="18"/>
      <c r="AA64" s="17">
        <f>COS(RADIANS(C64))^2</f>
        <v>3.0458649045213797E-4</v>
      </c>
      <c r="AB64" s="17">
        <f>SIN(RADIANS(C64))^2</f>
        <v>0.99969541350954794</v>
      </c>
      <c r="AC64" s="17">
        <f>COS(RADIANS(C64))*SIN(RADIANS(C64))</f>
        <v>1.7449748351250571E-2</v>
      </c>
      <c r="AD64" s="16"/>
      <c r="AE64" s="22" cm="1">
        <f t="array" ref="AE64:AG66">MMULT(MMULT(S64:U66,W64:Y66),AA64:AC66)</f>
        <v>1.0996506218980759</v>
      </c>
      <c r="AF64" s="22">
        <v>0.32892080667335261</v>
      </c>
      <c r="AG64" s="22">
        <v>2.1463530382807895E-2</v>
      </c>
      <c r="AH64" s="23"/>
      <c r="AI64" s="22" cm="1">
        <f t="array" ref="AI64:AK66">G64*(_xlfn.ANCHORARRAY(AE64))</f>
        <v>0</v>
      </c>
      <c r="AJ64" s="22">
        <v>0</v>
      </c>
      <c r="AK64" s="22">
        <v>0</v>
      </c>
      <c r="AM64" s="52" cm="1">
        <f t="array" ref="AM64:AM66">MMULT(AA64:AC66,_xlfn.ANCHORARRAY($F$91))</f>
        <v>1.7865891918501901E-3</v>
      </c>
      <c r="AO64" s="53" cm="1">
        <f t="array" ref="AO64:AO66">MMULT(W64:Y66,_xlfn.ANCHORARRAY($AM64))</f>
        <v>1.9633720228689924E-3</v>
      </c>
    </row>
    <row r="65" spans="1:52" x14ac:dyDescent="0.3">
      <c r="A65" s="34"/>
      <c r="B65" s="39"/>
      <c r="C65" s="40"/>
      <c r="D65" s="40"/>
      <c r="E65" s="40"/>
      <c r="F65" s="40"/>
      <c r="G65" s="40"/>
      <c r="S65" s="17">
        <f>SIN(RADIANS(C64))^2</f>
        <v>0.99969541350954794</v>
      </c>
      <c r="T65" s="17">
        <f>COS(RADIANS(C64))^2</f>
        <v>3.0458649045213797E-4</v>
      </c>
      <c r="U65" s="17">
        <f>2*COS(RADIANS(C64))*SIN(RADIANS(C64))</f>
        <v>3.4899496702501143E-2</v>
      </c>
      <c r="V65" s="16" t="s">
        <v>31</v>
      </c>
      <c r="W65" s="22">
        <f>O64*N64/(1-O64*Q64)</f>
        <v>0.32967032967032966</v>
      </c>
      <c r="X65" s="22">
        <f>N64/(1-O64*Q64)</f>
        <v>1.0989010989010988</v>
      </c>
      <c r="Y65" s="22">
        <v>0</v>
      </c>
      <c r="Z65" s="18" t="s">
        <v>31</v>
      </c>
      <c r="AA65" s="17">
        <f>AB64</f>
        <v>0.99969541350954794</v>
      </c>
      <c r="AB65" s="17">
        <f>AA64</f>
        <v>3.0458649045213797E-4</v>
      </c>
      <c r="AC65" s="17">
        <f>-COS(RADIANS(C64))*SIN(RADIANS(C64))</f>
        <v>-1.7449748351250571E-2</v>
      </c>
      <c r="AD65" s="16" t="str">
        <f>"="</f>
        <v>=</v>
      </c>
      <c r="AE65" s="22">
        <v>0.32892080667335261</v>
      </c>
      <c r="AF65" s="22">
        <v>1.0996506218980759</v>
      </c>
      <c r="AG65" s="22">
        <v>-2.1463530382807895E-2</v>
      </c>
      <c r="AH65" s="23" t="str">
        <f>"==&gt;"</f>
        <v>==&gt;</v>
      </c>
      <c r="AI65" s="22">
        <v>0</v>
      </c>
      <c r="AJ65" s="22">
        <v>0</v>
      </c>
      <c r="AK65" s="22">
        <v>0</v>
      </c>
      <c r="AM65" s="52">
        <v>2.6449653530960875E-7</v>
      </c>
      <c r="AO65" s="53">
        <v>5.8927610339600727E-4</v>
      </c>
    </row>
    <row r="66" spans="1:52" x14ac:dyDescent="0.3">
      <c r="A66" s="34"/>
      <c r="B66" s="41"/>
      <c r="I66" s="54">
        <f>AM64</f>
        <v>1.7865891918501901E-3</v>
      </c>
      <c r="J66" s="54">
        <f>AM65</f>
        <v>2.6449653530960875E-7</v>
      </c>
      <c r="K66" s="54">
        <f>AM66</f>
        <v>6.2379832922507746E-5</v>
      </c>
      <c r="M66" s="10">
        <f>_xlfn.XLOOKUP($B64,Materials!$B$2:$H$2,Materials!$B$10:$H$10,"## ##")</f>
        <v>0</v>
      </c>
      <c r="N66" s="10">
        <f>_xlfn.XLOOKUP($B64,Materials!$B$2:$H$2,Materials!$B$11:$H$11,"## ##")</f>
        <v>0</v>
      </c>
      <c r="O66" s="10">
        <f>_xlfn.XLOOKUP($B64,Materials!$B$2:$H$2,Materials!$B$12:$H$12,"## ##")</f>
        <v>0</v>
      </c>
      <c r="P66" s="10">
        <f>_xlfn.XLOOKUP($B64,Materials!$B$2:$H$2,Materials!$B$13:$H$13,"## ##")</f>
        <v>0</v>
      </c>
      <c r="Q66" s="10">
        <f>_xlfn.XLOOKUP($B64,Materials!$B$2:$H$2,Materials!$B$14:$H$14,"## ##")</f>
        <v>0</v>
      </c>
      <c r="S66" s="17">
        <f>COS(RADIANS(C64))*SIN(RADIANS(C64))</f>
        <v>1.7449748351250571E-2</v>
      </c>
      <c r="T66" s="17">
        <f>-COS(RADIANS(C64))*SIN(RADIANS(C64))</f>
        <v>-1.7449748351250571E-2</v>
      </c>
      <c r="U66" s="17">
        <f>COS(RADIANS(C64))^2-SIN(RADIANS(C64))^2</f>
        <v>-0.99939082701909576</v>
      </c>
      <c r="V66" s="16"/>
      <c r="W66" s="22">
        <v>0</v>
      </c>
      <c r="X66" s="22">
        <v>0</v>
      </c>
      <c r="Y66" s="22">
        <f>P64</f>
        <v>1</v>
      </c>
      <c r="Z66" s="18"/>
      <c r="AA66" s="17">
        <f>-2*COS(RADIANS(C64))*SIN(RADIANS(C64))</f>
        <v>-3.4899496702501143E-2</v>
      </c>
      <c r="AB66" s="17">
        <f>-AA66</f>
        <v>3.4899496702501143E-2</v>
      </c>
      <c r="AC66" s="17">
        <f>COS(RADIANS(C64))^2-SIN(RADIANS(C64))^2</f>
        <v>-0.99939082701909576</v>
      </c>
      <c r="AD66" s="16"/>
      <c r="AE66" s="22">
        <v>2.1463530382807895E-2</v>
      </c>
      <c r="AF66" s="22">
        <v>-2.1463530382807895E-2</v>
      </c>
      <c r="AG66" s="22">
        <v>0.99925047700302294</v>
      </c>
      <c r="AH66" s="23"/>
      <c r="AI66" s="22">
        <v>0</v>
      </c>
      <c r="AJ66" s="22">
        <v>0</v>
      </c>
      <c r="AK66" s="22">
        <v>0</v>
      </c>
      <c r="AM66" s="52">
        <v>6.2379832922507746E-5</v>
      </c>
      <c r="AO66" s="53">
        <v>6.2379832922507746E-5</v>
      </c>
    </row>
    <row r="67" spans="1:52" x14ac:dyDescent="0.3">
      <c r="A67" s="34"/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V67" s="46"/>
      <c r="AZ67" s="46"/>
    </row>
    <row r="68" spans="1:52" x14ac:dyDescent="0.3">
      <c r="A68" s="34">
        <v>10</v>
      </c>
      <c r="B68" s="5">
        <f>E18</f>
        <v>0</v>
      </c>
      <c r="C68" s="5">
        <f>F18</f>
        <v>-89</v>
      </c>
      <c r="D68" s="3" t="str">
        <f>_xlfn.XLOOKUP($B68,Materials!$B$2:$H$2,Materials!$B$3:$H$3,"## ##")</f>
        <v>NULL</v>
      </c>
      <c r="E68" s="9">
        <f>_xlfn.XLOOKUP(B68,Materials!$B$2:$H$2,Materials!B$17:H$17,"## ##")</f>
        <v>0</v>
      </c>
      <c r="F68" s="7">
        <f>G18</f>
        <v>0</v>
      </c>
      <c r="G68" s="9">
        <f>E68/(1-F68)</f>
        <v>0</v>
      </c>
      <c r="I68" s="53">
        <f>AO68</f>
        <v>1.9633720228689924E-3</v>
      </c>
      <c r="J68" s="53">
        <f>AO69</f>
        <v>5.8927610339600727E-4</v>
      </c>
      <c r="K68" s="53">
        <f>AO70</f>
        <v>-6.2379832922507746E-5</v>
      </c>
      <c r="M68" s="4">
        <f>_xlfn.XLOOKUP($B68,Materials!$B$2:$H$2,Materials!$B$5:$H$5,"## ##")</f>
        <v>1</v>
      </c>
      <c r="N68" s="4">
        <f>_xlfn.XLOOKUP($B68,Materials!B$2:H$2,Materials!B$6:H$6,"## ##")</f>
        <v>1</v>
      </c>
      <c r="O68" s="13">
        <f>_xlfn.XLOOKUP($B68,Materials!B$2:H$2,Materials!B$7:H$7,"## ##")</f>
        <v>0.3</v>
      </c>
      <c r="P68" s="4">
        <f>_xlfn.XLOOKUP($B68,Materials!B$2:H$2,Materials!B$8:H$8,"## ##")</f>
        <v>1</v>
      </c>
      <c r="Q68" s="13">
        <f>(N68/M68)*O68</f>
        <v>0.3</v>
      </c>
      <c r="S68" s="17">
        <f>COS(RADIANS(C68))^2</f>
        <v>3.0458649045213797E-4</v>
      </c>
      <c r="T68" s="17">
        <f>SIN(RADIANS(C68))^2</f>
        <v>0.99969541350954794</v>
      </c>
      <c r="U68" s="17">
        <f>-2*COS(RADIANS(C68))*SIN(RADIANS(C68))</f>
        <v>3.4899496702501143E-2</v>
      </c>
      <c r="V68" s="16"/>
      <c r="W68" s="22">
        <f>M68/(1-O68*Q68)</f>
        <v>1.0989010989010988</v>
      </c>
      <c r="X68" s="22">
        <f>Q68*M68/(1-O68*Q68)</f>
        <v>0.32967032967032966</v>
      </c>
      <c r="Y68" s="22">
        <v>0</v>
      </c>
      <c r="Z68" s="18"/>
      <c r="AA68" s="17">
        <f>COS(RADIANS(C68))^2</f>
        <v>3.0458649045213797E-4</v>
      </c>
      <c r="AB68" s="17">
        <f>SIN(RADIANS(C68))^2</f>
        <v>0.99969541350954794</v>
      </c>
      <c r="AC68" s="17">
        <f>COS(RADIANS(C68))*SIN(RADIANS(C68))</f>
        <v>-1.7449748351250571E-2</v>
      </c>
      <c r="AD68" s="16"/>
      <c r="AE68" s="22" cm="1">
        <f t="array" ref="AE68:AG70">MMULT(MMULT(S68:U70,W68:Y70),AA68:AC70)</f>
        <v>1.0996506218980759</v>
      </c>
      <c r="AF68" s="22">
        <v>0.32892080667335261</v>
      </c>
      <c r="AG68" s="22">
        <v>-2.1463530382807895E-2</v>
      </c>
      <c r="AH68" s="23"/>
      <c r="AI68" s="22" cm="1">
        <f t="array" ref="AI68:AK70">G68*(_xlfn.ANCHORARRAY(AE68))</f>
        <v>0</v>
      </c>
      <c r="AJ68" s="22">
        <v>0</v>
      </c>
      <c r="AK68" s="22">
        <v>0</v>
      </c>
      <c r="AM68" s="52" cm="1">
        <f t="array" ref="AM68:AM70">MMULT(AA68:AC70,_xlfn.ANCHORARRAY($F$91))</f>
        <v>1.7865891918501901E-3</v>
      </c>
      <c r="AO68" s="53" cm="1">
        <f t="array" ref="AO68:AO70">MMULT(W68:Y70,_xlfn.ANCHORARRAY($AM68))</f>
        <v>1.9633720228689924E-3</v>
      </c>
      <c r="AV68" s="46"/>
      <c r="AZ68" s="46"/>
    </row>
    <row r="69" spans="1:52" x14ac:dyDescent="0.3">
      <c r="A69" s="34"/>
      <c r="B69" s="39"/>
      <c r="C69" s="40"/>
      <c r="D69" s="40"/>
      <c r="E69" s="40"/>
      <c r="F69" s="40"/>
      <c r="G69" s="40"/>
      <c r="S69" s="17">
        <f>SIN(RADIANS(C68))^2</f>
        <v>0.99969541350954794</v>
      </c>
      <c r="T69" s="17">
        <f>COS(RADIANS(C68))^2</f>
        <v>3.0458649045213797E-4</v>
      </c>
      <c r="U69" s="17">
        <f>2*COS(RADIANS(C68))*SIN(RADIANS(C68))</f>
        <v>-3.4899496702501143E-2</v>
      </c>
      <c r="V69" s="16" t="s">
        <v>31</v>
      </c>
      <c r="W69" s="22">
        <f>O68*N68/(1-O68*Q68)</f>
        <v>0.32967032967032966</v>
      </c>
      <c r="X69" s="22">
        <f>N68/(1-O68*Q68)</f>
        <v>1.0989010989010988</v>
      </c>
      <c r="Y69" s="22">
        <v>0</v>
      </c>
      <c r="Z69" s="18" t="s">
        <v>31</v>
      </c>
      <c r="AA69" s="17">
        <f>AB68</f>
        <v>0.99969541350954794</v>
      </c>
      <c r="AB69" s="17">
        <f>AA68</f>
        <v>3.0458649045213797E-4</v>
      </c>
      <c r="AC69" s="17">
        <f>-COS(RADIANS(C68))*SIN(RADIANS(C68))</f>
        <v>1.7449748351250571E-2</v>
      </c>
      <c r="AD69" s="16" t="str">
        <f>"="</f>
        <v>=</v>
      </c>
      <c r="AE69" s="22">
        <v>0.32892080667335261</v>
      </c>
      <c r="AF69" s="22">
        <v>1.0996506218980759</v>
      </c>
      <c r="AG69" s="22">
        <v>2.1463530382807895E-2</v>
      </c>
      <c r="AH69" s="23" t="str">
        <f>"==&gt;"</f>
        <v>==&gt;</v>
      </c>
      <c r="AI69" s="22">
        <v>0</v>
      </c>
      <c r="AJ69" s="22">
        <v>0</v>
      </c>
      <c r="AK69" s="22">
        <v>0</v>
      </c>
      <c r="AM69" s="52">
        <v>2.6449653530960875E-7</v>
      </c>
      <c r="AO69" s="53">
        <v>5.8927610339600727E-4</v>
      </c>
      <c r="AV69" s="46"/>
      <c r="AZ69" s="46"/>
    </row>
    <row r="70" spans="1:52" x14ac:dyDescent="0.3">
      <c r="A70" s="34"/>
      <c r="B70" s="41"/>
      <c r="I70" s="54">
        <f>AM68</f>
        <v>1.7865891918501901E-3</v>
      </c>
      <c r="J70" s="54">
        <f>AM69</f>
        <v>2.6449653530960875E-7</v>
      </c>
      <c r="K70" s="54">
        <f>AM70</f>
        <v>-6.2379832922507746E-5</v>
      </c>
      <c r="M70" s="10">
        <f>_xlfn.XLOOKUP($B68,Materials!$B$2:$H$2,Materials!$B$10:$H$10,"## ##")</f>
        <v>0</v>
      </c>
      <c r="N70" s="10">
        <f>_xlfn.XLOOKUP($B68,Materials!$B$2:$H$2,Materials!$B$11:$H$11,"## ##")</f>
        <v>0</v>
      </c>
      <c r="O70" s="10">
        <f>_xlfn.XLOOKUP($B68,Materials!$B$2:$H$2,Materials!$B$12:$H$12,"## ##")</f>
        <v>0</v>
      </c>
      <c r="P70" s="10">
        <f>_xlfn.XLOOKUP($B68,Materials!$B$2:$H$2,Materials!$B$13:$H$13,"## ##")</f>
        <v>0</v>
      </c>
      <c r="Q70" s="10">
        <f>_xlfn.XLOOKUP($B68,Materials!$B$2:$H$2,Materials!$B$14:$H$14,"## ##")</f>
        <v>0</v>
      </c>
      <c r="S70" s="17">
        <f>COS(RADIANS(C68))*SIN(RADIANS(C68))</f>
        <v>-1.7449748351250571E-2</v>
      </c>
      <c r="T70" s="17">
        <f>-COS(RADIANS(C68))*SIN(RADIANS(C68))</f>
        <v>1.7449748351250571E-2</v>
      </c>
      <c r="U70" s="17">
        <f>COS(RADIANS(C68))^2-SIN(RADIANS(C68))^2</f>
        <v>-0.99939082701909576</v>
      </c>
      <c r="V70" s="16"/>
      <c r="W70" s="22">
        <v>0</v>
      </c>
      <c r="X70" s="22">
        <v>0</v>
      </c>
      <c r="Y70" s="22">
        <f>P68</f>
        <v>1</v>
      </c>
      <c r="Z70" s="18"/>
      <c r="AA70" s="17">
        <f>-2*COS(RADIANS(C68))*SIN(RADIANS(C68))</f>
        <v>3.4899496702501143E-2</v>
      </c>
      <c r="AB70" s="17">
        <f>-AA70</f>
        <v>-3.4899496702501143E-2</v>
      </c>
      <c r="AC70" s="17">
        <f>COS(RADIANS(C68))^2-SIN(RADIANS(C68))^2</f>
        <v>-0.99939082701909576</v>
      </c>
      <c r="AD70" s="16"/>
      <c r="AE70" s="22">
        <v>-2.1463530382807895E-2</v>
      </c>
      <c r="AF70" s="22">
        <v>2.1463530382807895E-2</v>
      </c>
      <c r="AG70" s="22">
        <v>0.99925047700302294</v>
      </c>
      <c r="AH70" s="23"/>
      <c r="AI70" s="22">
        <v>0</v>
      </c>
      <c r="AJ70" s="22">
        <v>0</v>
      </c>
      <c r="AK70" s="22">
        <v>0</v>
      </c>
      <c r="AM70" s="52">
        <v>-6.2379832922507746E-5</v>
      </c>
      <c r="AO70" s="53">
        <v>-6.2379832922507746E-5</v>
      </c>
      <c r="AV70" s="46"/>
      <c r="AZ70" s="46"/>
    </row>
    <row r="71" spans="1:52" x14ac:dyDescent="0.3">
      <c r="A71" s="34"/>
      <c r="AV71" s="46"/>
      <c r="AZ71" s="46"/>
    </row>
    <row r="72" spans="1:52" x14ac:dyDescent="0.3">
      <c r="A72" s="34">
        <v>11</v>
      </c>
      <c r="B72" s="5">
        <f>E19</f>
        <v>0</v>
      </c>
      <c r="C72" s="5">
        <f>F19</f>
        <v>0</v>
      </c>
      <c r="D72" s="3" t="str">
        <f>_xlfn.XLOOKUP($B72,Materials!$B$2:$H$2,Materials!$B$3:$H$3,"## ##")</f>
        <v>NULL</v>
      </c>
      <c r="E72" s="9">
        <f>_xlfn.XLOOKUP(B72,Materials!$B$2:$H$2,Materials!B$17:H$17,"## ##")</f>
        <v>0</v>
      </c>
      <c r="F72" s="7">
        <f>G19</f>
        <v>0</v>
      </c>
      <c r="G72" s="9">
        <f>E72/(1-F72)</f>
        <v>0</v>
      </c>
      <c r="I72" s="53">
        <f>AO72</f>
        <v>5.8885731722913275E-4</v>
      </c>
      <c r="J72" s="53">
        <f>AO73</f>
        <v>1.9637908090358665E-3</v>
      </c>
      <c r="K72" s="53">
        <f>AO74</f>
        <v>0</v>
      </c>
      <c r="M72" s="4">
        <f>_xlfn.XLOOKUP($B72,Materials!$B$2:$H$2,Materials!$B$5:$H$5,"## ##")</f>
        <v>1</v>
      </c>
      <c r="N72" s="4">
        <f>_xlfn.XLOOKUP($B72,Materials!B$2:H$2,Materials!B$6:H$6,"## ##")</f>
        <v>1</v>
      </c>
      <c r="O72" s="13">
        <f>_xlfn.XLOOKUP($B72,Materials!B$2:H$2,Materials!B$7:H$7,"## ##")</f>
        <v>0.3</v>
      </c>
      <c r="P72" s="4">
        <f>_xlfn.XLOOKUP($B72,Materials!B$2:H$2,Materials!B$8:H$8,"## ##")</f>
        <v>1</v>
      </c>
      <c r="Q72" s="13">
        <f>(N72/M72)*O72</f>
        <v>0.3</v>
      </c>
      <c r="S72" s="17">
        <f>COS(RADIANS(C72))^2</f>
        <v>1</v>
      </c>
      <c r="T72" s="17">
        <f>SIN(RADIANS(C72))^2</f>
        <v>0</v>
      </c>
      <c r="U72" s="17">
        <f>-2*COS(RADIANS(C72))*SIN(RADIANS(C72))</f>
        <v>0</v>
      </c>
      <c r="V72" s="16"/>
      <c r="W72" s="22">
        <f>M72/(1-O72*Q72)</f>
        <v>1.0989010989010988</v>
      </c>
      <c r="X72" s="22">
        <f>Q72*M72/(1-O72*Q72)</f>
        <v>0.32967032967032966</v>
      </c>
      <c r="Y72" s="22">
        <v>0</v>
      </c>
      <c r="Z72" s="18"/>
      <c r="AA72" s="17">
        <f>COS(RADIANS(C72))^2</f>
        <v>1</v>
      </c>
      <c r="AB72" s="17">
        <f>SIN(RADIANS(C72))^2</f>
        <v>0</v>
      </c>
      <c r="AC72" s="17">
        <f>COS(RADIANS(C72))*SIN(RADIANS(C72))</f>
        <v>0</v>
      </c>
      <c r="AD72" s="16"/>
      <c r="AE72" s="22" cm="1">
        <f t="array" ref="AE72:AG74">MMULT(MMULT(S72:U74,W72:Y74),AA72:AC74)</f>
        <v>1.0989010989010988</v>
      </c>
      <c r="AF72" s="22">
        <v>0.32967032967032966</v>
      </c>
      <c r="AG72" s="22">
        <v>0</v>
      </c>
      <c r="AH72" s="23"/>
      <c r="AI72" s="22" cm="1">
        <f t="array" ref="AI72:AK74">G72*(_xlfn.ANCHORARRAY(AE72))</f>
        <v>0</v>
      </c>
      <c r="AJ72" s="22">
        <v>0</v>
      </c>
      <c r="AK72" s="22">
        <v>0</v>
      </c>
      <c r="AM72" s="52" cm="1">
        <f t="array" ref="AM72:AM74">MMULT(AA72:AC74,_xlfn.ANCHORARRAY($F$91))</f>
        <v>-2.7992548162726269E-7</v>
      </c>
      <c r="AO72" s="53" cm="1">
        <f t="array" ref="AO72:AO74">MMULT(W72:Y74,_xlfn.ANCHORARRAY($AM72))</f>
        <v>5.8885731722913275E-4</v>
      </c>
      <c r="AV72" s="46"/>
      <c r="AZ72" s="46"/>
    </row>
    <row r="73" spans="1:52" x14ac:dyDescent="0.3">
      <c r="A73" s="34"/>
      <c r="B73" s="39"/>
      <c r="C73" s="40"/>
      <c r="D73" s="40"/>
      <c r="E73" s="40"/>
      <c r="F73" s="40"/>
      <c r="G73" s="40"/>
      <c r="S73" s="17">
        <f>SIN(RADIANS(C72))^2</f>
        <v>0</v>
      </c>
      <c r="T73" s="17">
        <f>COS(RADIANS(C72))^2</f>
        <v>1</v>
      </c>
      <c r="U73" s="17">
        <f>2*COS(RADIANS(C72))*SIN(RADIANS(C72))</f>
        <v>0</v>
      </c>
      <c r="V73" s="16" t="s">
        <v>31</v>
      </c>
      <c r="W73" s="22">
        <f>O72*N72/(1-O72*Q72)</f>
        <v>0.32967032967032966</v>
      </c>
      <c r="X73" s="22">
        <f>N72/(1-O72*Q72)</f>
        <v>1.0989010989010988</v>
      </c>
      <c r="Y73" s="22">
        <v>0</v>
      </c>
      <c r="Z73" s="18" t="s">
        <v>31</v>
      </c>
      <c r="AA73" s="17">
        <f>AB72</f>
        <v>0</v>
      </c>
      <c r="AB73" s="17">
        <f>AA72</f>
        <v>1</v>
      </c>
      <c r="AC73" s="17">
        <f>-COS(RADIANS(C72))*SIN(RADIANS(C72))</f>
        <v>0</v>
      </c>
      <c r="AD73" s="16" t="str">
        <f>"="</f>
        <v>=</v>
      </c>
      <c r="AE73" s="22">
        <v>0.32967032967032966</v>
      </c>
      <c r="AF73" s="22">
        <v>1.0989010989010988</v>
      </c>
      <c r="AG73" s="22">
        <v>0</v>
      </c>
      <c r="AH73" s="23" t="str">
        <f>"==&gt;"</f>
        <v>==&gt;</v>
      </c>
      <c r="AI73" s="22">
        <v>0</v>
      </c>
      <c r="AJ73" s="22">
        <v>0</v>
      </c>
      <c r="AK73" s="22">
        <v>0</v>
      </c>
      <c r="AM73" s="52">
        <v>1.7871336138671268E-3</v>
      </c>
      <c r="AO73" s="53">
        <v>1.9637908090358665E-3</v>
      </c>
      <c r="AV73" s="46"/>
      <c r="AZ73" s="46"/>
    </row>
    <row r="74" spans="1:52" x14ac:dyDescent="0.3">
      <c r="A74" s="34"/>
      <c r="B74" s="41"/>
      <c r="I74" s="54">
        <f>AM72</f>
        <v>-2.7992548162726269E-7</v>
      </c>
      <c r="J74" s="54">
        <f>AM73</f>
        <v>1.7871336138671268E-3</v>
      </c>
      <c r="K74" s="54">
        <f>AM74</f>
        <v>0</v>
      </c>
      <c r="M74" s="10">
        <f>_xlfn.XLOOKUP($B72,Materials!$B$2:$H$2,Materials!$B$10:$H$10,"## ##")</f>
        <v>0</v>
      </c>
      <c r="N74" s="10">
        <f>_xlfn.XLOOKUP($B72,Materials!$B$2:$H$2,Materials!$B$11:$H$11,"## ##")</f>
        <v>0</v>
      </c>
      <c r="O74" s="10">
        <f>_xlfn.XLOOKUP($B72,Materials!$B$2:$H$2,Materials!$B$12:$H$12,"## ##")</f>
        <v>0</v>
      </c>
      <c r="P74" s="10">
        <f>_xlfn.XLOOKUP($B72,Materials!$B$2:$H$2,Materials!$B$13:$H$13,"## ##")</f>
        <v>0</v>
      </c>
      <c r="Q74" s="10">
        <f>_xlfn.XLOOKUP($B72,Materials!$B$2:$H$2,Materials!$B$14:$H$14,"## ##")</f>
        <v>0</v>
      </c>
      <c r="S74" s="17">
        <f>COS(RADIANS(C72))*SIN(RADIANS(C72))</f>
        <v>0</v>
      </c>
      <c r="T74" s="17">
        <f>-COS(RADIANS(C72))*SIN(RADIANS(C72))</f>
        <v>0</v>
      </c>
      <c r="U74" s="17">
        <f>COS(RADIANS(C72))^2-SIN(RADIANS(C72))^2</f>
        <v>1</v>
      </c>
      <c r="V74" s="16"/>
      <c r="W74" s="22">
        <v>0</v>
      </c>
      <c r="X74" s="22">
        <v>0</v>
      </c>
      <c r="Y74" s="22">
        <f>P72</f>
        <v>1</v>
      </c>
      <c r="Z74" s="18"/>
      <c r="AA74" s="17">
        <f>-2*COS(RADIANS(C72))*SIN(RADIANS(C72))</f>
        <v>0</v>
      </c>
      <c r="AB74" s="17">
        <f>-AA74</f>
        <v>0</v>
      </c>
      <c r="AC74" s="17">
        <f>COS(RADIANS(C72))^2-SIN(RADIANS(C72))^2</f>
        <v>1</v>
      </c>
      <c r="AD74" s="16"/>
      <c r="AE74" s="22">
        <v>0</v>
      </c>
      <c r="AF74" s="22">
        <v>0</v>
      </c>
      <c r="AG74" s="22">
        <v>1</v>
      </c>
      <c r="AH74" s="23"/>
      <c r="AI74" s="22">
        <v>0</v>
      </c>
      <c r="AJ74" s="22">
        <v>0</v>
      </c>
      <c r="AK74" s="22">
        <v>0</v>
      </c>
      <c r="AM74" s="52">
        <v>0</v>
      </c>
      <c r="AO74" s="53">
        <v>0</v>
      </c>
      <c r="AV74" s="46"/>
      <c r="AZ74" s="46"/>
    </row>
    <row r="75" spans="1:52" x14ac:dyDescent="0.3">
      <c r="A75" s="34"/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V75" s="46"/>
      <c r="AZ75" s="46"/>
    </row>
    <row r="76" spans="1:52" x14ac:dyDescent="0.3">
      <c r="A76" s="34">
        <v>12</v>
      </c>
      <c r="B76" s="5">
        <f>E20</f>
        <v>0</v>
      </c>
      <c r="C76" s="5">
        <f>F20</f>
        <v>0</v>
      </c>
      <c r="D76" s="3" t="str">
        <f>_xlfn.XLOOKUP($B76,Materials!$B$2:$H$2,Materials!$B$3:$H$3,"## ##")</f>
        <v>NULL</v>
      </c>
      <c r="E76" s="9">
        <f>_xlfn.XLOOKUP(B76,Materials!$B$2:$H$2,Materials!B$17:H$17,"## ##")</f>
        <v>0</v>
      </c>
      <c r="F76" s="7">
        <f>G20</f>
        <v>0</v>
      </c>
      <c r="G76" s="9">
        <f>E76/(1-F76)</f>
        <v>0</v>
      </c>
      <c r="I76" s="53">
        <f>AO76</f>
        <v>5.8885731722913275E-4</v>
      </c>
      <c r="J76" s="53">
        <f>AO77</f>
        <v>1.9637908090358665E-3</v>
      </c>
      <c r="K76" s="53">
        <f>AO78</f>
        <v>0</v>
      </c>
      <c r="M76" s="4">
        <f>_xlfn.XLOOKUP($B76,Materials!$B$2:$H$2,Materials!$B$5:$H$5,"## ##")</f>
        <v>1</v>
      </c>
      <c r="N76" s="4">
        <f>_xlfn.XLOOKUP($B76,Materials!B$2:H$2,Materials!B$6:H$6,"## ##")</f>
        <v>1</v>
      </c>
      <c r="O76" s="13">
        <f>_xlfn.XLOOKUP($B76,Materials!B$2:H$2,Materials!B$7:H$7,"## ##")</f>
        <v>0.3</v>
      </c>
      <c r="P76" s="4">
        <f>_xlfn.XLOOKUP($B76,Materials!B$2:H$2,Materials!B$8:H$8,"## ##")</f>
        <v>1</v>
      </c>
      <c r="Q76" s="13">
        <f>(N76/M76)*O76</f>
        <v>0.3</v>
      </c>
      <c r="S76" s="17">
        <f>COS(RADIANS(C76))^2</f>
        <v>1</v>
      </c>
      <c r="T76" s="17">
        <f>SIN(RADIANS(C76))^2</f>
        <v>0</v>
      </c>
      <c r="U76" s="17">
        <f>-2*COS(RADIANS(C76))*SIN(RADIANS(C76))</f>
        <v>0</v>
      </c>
      <c r="V76" s="16"/>
      <c r="W76" s="22">
        <f>M76/(1-O76*Q76)</f>
        <v>1.0989010989010988</v>
      </c>
      <c r="X76" s="22">
        <f>Q76*M76/(1-O76*Q76)</f>
        <v>0.32967032967032966</v>
      </c>
      <c r="Y76" s="22">
        <v>0</v>
      </c>
      <c r="Z76" s="18"/>
      <c r="AA76" s="17">
        <f>COS(RADIANS(C76))^2</f>
        <v>1</v>
      </c>
      <c r="AB76" s="17">
        <f>SIN(RADIANS(C76))^2</f>
        <v>0</v>
      </c>
      <c r="AC76" s="17">
        <f>COS(RADIANS(C76))*SIN(RADIANS(C76))</f>
        <v>0</v>
      </c>
      <c r="AD76" s="16"/>
      <c r="AE76" s="22" cm="1">
        <f t="array" ref="AE76:AG78">MMULT(MMULT(S76:U78,W76:Y78),AA76:AC78)</f>
        <v>1.0989010989010988</v>
      </c>
      <c r="AF76" s="22">
        <v>0.32967032967032966</v>
      </c>
      <c r="AG76" s="22">
        <v>0</v>
      </c>
      <c r="AH76" s="23"/>
      <c r="AI76" s="22" cm="1">
        <f t="array" ref="AI76:AK78">G76*(_xlfn.ANCHORARRAY(AE76))</f>
        <v>0</v>
      </c>
      <c r="AJ76" s="22">
        <v>0</v>
      </c>
      <c r="AK76" s="22">
        <v>0</v>
      </c>
      <c r="AM76" s="52" cm="1">
        <f t="array" ref="AM76:AM78">MMULT(AA76:AC78,_xlfn.ANCHORARRAY($F$91))</f>
        <v>-2.7992548162726269E-7</v>
      </c>
      <c r="AO76" s="53" cm="1">
        <f t="array" ref="AO76:AO78">MMULT(W76:Y78,_xlfn.ANCHORARRAY($AM76))</f>
        <v>5.8885731722913275E-4</v>
      </c>
      <c r="AV76" s="46"/>
      <c r="AZ76" s="46"/>
    </row>
    <row r="77" spans="1:52" x14ac:dyDescent="0.3">
      <c r="A77" s="34"/>
      <c r="B77" s="39"/>
      <c r="C77" s="40"/>
      <c r="D77" s="40"/>
      <c r="E77" s="40"/>
      <c r="F77" s="40"/>
      <c r="G77" s="40"/>
      <c r="S77" s="17">
        <f>SIN(RADIANS(C76))^2</f>
        <v>0</v>
      </c>
      <c r="T77" s="17">
        <f>COS(RADIANS(C76))^2</f>
        <v>1</v>
      </c>
      <c r="U77" s="17">
        <f>2*COS(RADIANS(C76))*SIN(RADIANS(C76))</f>
        <v>0</v>
      </c>
      <c r="V77" s="16" t="s">
        <v>31</v>
      </c>
      <c r="W77" s="22">
        <f>O76*N76/(1-O76*Q76)</f>
        <v>0.32967032967032966</v>
      </c>
      <c r="X77" s="22">
        <f>N76/(1-O76*Q76)</f>
        <v>1.0989010989010988</v>
      </c>
      <c r="Y77" s="22">
        <v>0</v>
      </c>
      <c r="Z77" s="18" t="s">
        <v>31</v>
      </c>
      <c r="AA77" s="17">
        <f>AB76</f>
        <v>0</v>
      </c>
      <c r="AB77" s="17">
        <f>AA76</f>
        <v>1</v>
      </c>
      <c r="AC77" s="17">
        <f>-COS(RADIANS(C76))*SIN(RADIANS(C76))</f>
        <v>0</v>
      </c>
      <c r="AD77" s="16" t="str">
        <f>"="</f>
        <v>=</v>
      </c>
      <c r="AE77" s="22">
        <v>0.32967032967032966</v>
      </c>
      <c r="AF77" s="22">
        <v>1.0989010989010988</v>
      </c>
      <c r="AG77" s="22">
        <v>0</v>
      </c>
      <c r="AH77" s="23" t="str">
        <f>"==&gt;"</f>
        <v>==&gt;</v>
      </c>
      <c r="AI77" s="22">
        <v>0</v>
      </c>
      <c r="AJ77" s="22">
        <v>0</v>
      </c>
      <c r="AK77" s="22">
        <v>0</v>
      </c>
      <c r="AM77" s="52">
        <v>1.7871336138671268E-3</v>
      </c>
      <c r="AO77" s="53">
        <v>1.9637908090358665E-3</v>
      </c>
    </row>
    <row r="78" spans="1:52" x14ac:dyDescent="0.3">
      <c r="A78" s="34"/>
      <c r="B78" s="41"/>
      <c r="I78" s="54">
        <f>AM76</f>
        <v>-2.7992548162726269E-7</v>
      </c>
      <c r="J78" s="54">
        <f>AM77</f>
        <v>1.7871336138671268E-3</v>
      </c>
      <c r="K78" s="54">
        <f>AM78</f>
        <v>0</v>
      </c>
      <c r="M78" s="10">
        <f>_xlfn.XLOOKUP($B76,Materials!$B$2:$H$2,Materials!$B$10:$H$10,"## ##")</f>
        <v>0</v>
      </c>
      <c r="N78" s="10">
        <f>_xlfn.XLOOKUP($B76,Materials!$B$2:$H$2,Materials!$B$11:$H$11,"## ##")</f>
        <v>0</v>
      </c>
      <c r="O78" s="10">
        <f>_xlfn.XLOOKUP($B76,Materials!$B$2:$H$2,Materials!$B$12:$H$12,"## ##")</f>
        <v>0</v>
      </c>
      <c r="P78" s="10">
        <f>_xlfn.XLOOKUP($B76,Materials!$B$2:$H$2,Materials!$B$13:$H$13,"## ##")</f>
        <v>0</v>
      </c>
      <c r="Q78" s="10">
        <f>_xlfn.XLOOKUP($B76,Materials!$B$2:$H$2,Materials!$B$14:$H$14,"## ##")</f>
        <v>0</v>
      </c>
      <c r="S78" s="17">
        <f>COS(RADIANS(C76))*SIN(RADIANS(C76))</f>
        <v>0</v>
      </c>
      <c r="T78" s="17">
        <f>-COS(RADIANS(C76))*SIN(RADIANS(C76))</f>
        <v>0</v>
      </c>
      <c r="U78" s="17">
        <f>COS(RADIANS(C76))^2-SIN(RADIANS(C76))^2</f>
        <v>1</v>
      </c>
      <c r="V78" s="16"/>
      <c r="W78" s="22">
        <v>0</v>
      </c>
      <c r="X78" s="22">
        <v>0</v>
      </c>
      <c r="Y78" s="22">
        <f>P76</f>
        <v>1</v>
      </c>
      <c r="Z78" s="18"/>
      <c r="AA78" s="17">
        <f>-2*COS(RADIANS(C76))*SIN(RADIANS(C76))</f>
        <v>0</v>
      </c>
      <c r="AB78" s="17">
        <f>-AA78</f>
        <v>0</v>
      </c>
      <c r="AC78" s="17">
        <f>COS(RADIANS(C76))^2-SIN(RADIANS(C76))^2</f>
        <v>1</v>
      </c>
      <c r="AD78" s="16"/>
      <c r="AE78" s="22">
        <v>0</v>
      </c>
      <c r="AF78" s="22">
        <v>0</v>
      </c>
      <c r="AG78" s="22">
        <v>1</v>
      </c>
      <c r="AH78" s="23"/>
      <c r="AI78" s="22">
        <v>0</v>
      </c>
      <c r="AJ78" s="22">
        <v>0</v>
      </c>
      <c r="AK78" s="22">
        <v>0</v>
      </c>
      <c r="AM78" s="52">
        <v>0</v>
      </c>
      <c r="AO78" s="53">
        <v>0</v>
      </c>
    </row>
    <row r="79" spans="1:52" x14ac:dyDescent="0.3">
      <c r="A79" s="34"/>
    </row>
    <row r="81" spans="2:52" x14ac:dyDescent="0.3">
      <c r="B81" s="69" t="s">
        <v>63</v>
      </c>
      <c r="C81" s="69"/>
      <c r="D81" s="69"/>
      <c r="E81" s="69"/>
      <c r="F81" s="69"/>
      <c r="G81" s="69"/>
      <c r="I81" s="69" t="s">
        <v>103</v>
      </c>
      <c r="J81" s="69"/>
      <c r="K81" s="69"/>
      <c r="L81" s="69"/>
      <c r="M81" s="27"/>
      <c r="N81" s="27"/>
    </row>
    <row r="82" spans="2:52" x14ac:dyDescent="0.3">
      <c r="B82" s="20" t="s">
        <v>32</v>
      </c>
      <c r="C82" s="20" t="s">
        <v>1</v>
      </c>
      <c r="D82" s="20" t="s">
        <v>34</v>
      </c>
      <c r="E82" s="20" t="s">
        <v>35</v>
      </c>
      <c r="F82" s="20" t="s">
        <v>36</v>
      </c>
      <c r="G82" s="20" t="s">
        <v>37</v>
      </c>
      <c r="I82" s="20" t="s">
        <v>13</v>
      </c>
      <c r="J82" s="20" t="s">
        <v>104</v>
      </c>
      <c r="K82" s="20" t="s">
        <v>92</v>
      </c>
      <c r="L82" s="20" t="s">
        <v>93</v>
      </c>
    </row>
    <row r="83" spans="2:52" x14ac:dyDescent="0.3">
      <c r="B83" s="9" t="str">
        <f>IF(SUM(C32:C60)=0,"SYMMETRIC","ASYMMETRIC")</f>
        <v>SYMMETRIC</v>
      </c>
      <c r="C83" s="9">
        <f>SUM(G32:G76)</f>
        <v>0.13625000000000001</v>
      </c>
      <c r="D83" s="14">
        <f>1/(C83*E86)</f>
        <v>3615871.1323124878</v>
      </c>
      <c r="E83" s="14">
        <f>1/(C83*F87)</f>
        <v>6076936.5077415695</v>
      </c>
      <c r="F83" s="9">
        <f>-E87/E86</f>
        <v>0.5000540368403954</v>
      </c>
      <c r="G83" s="14">
        <f>1/(C83*G88)</f>
        <v>5575709.8286387967</v>
      </c>
      <c r="I83" s="6">
        <v>0</v>
      </c>
      <c r="J83" s="67">
        <f>-C83/2</f>
        <v>-6.8125000000000005E-2</v>
      </c>
      <c r="K83" s="6">
        <v>0</v>
      </c>
      <c r="L83" s="6">
        <v>0</v>
      </c>
    </row>
    <row r="84" spans="2:52" x14ac:dyDescent="0.3">
      <c r="I84" s="6">
        <v>1</v>
      </c>
      <c r="J84" s="67">
        <f>J83</f>
        <v>-6.8125000000000005E-2</v>
      </c>
      <c r="K84" s="15">
        <f>I32</f>
        <v>20672.340481157189</v>
      </c>
      <c r="L84" s="15">
        <f>J32</f>
        <v>1722.110182065423</v>
      </c>
      <c r="AV84" s="46"/>
      <c r="AZ84" s="46"/>
    </row>
    <row r="85" spans="2:52" x14ac:dyDescent="0.3">
      <c r="B85" s="38" t="s">
        <v>30</v>
      </c>
      <c r="C85" s="38"/>
      <c r="D85" s="38"/>
      <c r="E85" s="38" t="s">
        <v>33</v>
      </c>
      <c r="F85" s="38"/>
      <c r="G85" s="38"/>
      <c r="I85" s="60">
        <v>1</v>
      </c>
      <c r="J85" s="67">
        <f>G32+J83</f>
        <v>-5.0625000000000003E-2</v>
      </c>
      <c r="K85" s="15">
        <f>I32</f>
        <v>20672.340481157189</v>
      </c>
      <c r="L85" s="15">
        <f>J32</f>
        <v>1722.110182065423</v>
      </c>
      <c r="AV85" s="46"/>
      <c r="AZ85" s="46"/>
    </row>
    <row r="86" spans="2:52" x14ac:dyDescent="0.3">
      <c r="B86" s="10">
        <f t="shared" ref="B86:D88" si="0">SUM(AI32,AI36,AI40,AI44,AI48,AI52,AI56,AI60,AI64,AI68,AI72,AI76)</f>
        <v>849781.32198350457</v>
      </c>
      <c r="C86" s="10">
        <f t="shared" si="0"/>
        <v>714160.57844946731</v>
      </c>
      <c r="D86" s="10">
        <f t="shared" si="0"/>
        <v>0</v>
      </c>
      <c r="E86" s="10" cm="1">
        <f t="array" ref="E86:G88">MINVERSE(B86:D88)</f>
        <v>2.0297873659536492E-6</v>
      </c>
      <c r="F86" s="10">
        <v>-1.0150033662727554E-6</v>
      </c>
      <c r="G86" s="10">
        <v>0</v>
      </c>
      <c r="I86" s="60">
        <v>2</v>
      </c>
      <c r="J86" s="67">
        <f>J85</f>
        <v>-5.0625000000000003E-2</v>
      </c>
      <c r="K86" s="15">
        <f>I36</f>
        <v>20672.340481157189</v>
      </c>
      <c r="L86" s="15">
        <f>J36</f>
        <v>1722.110182065423</v>
      </c>
      <c r="AV86" s="46"/>
      <c r="AZ86" s="46"/>
    </row>
    <row r="87" spans="2:52" x14ac:dyDescent="0.3">
      <c r="B87" s="10">
        <f t="shared" si="0"/>
        <v>714160.57844946731</v>
      </c>
      <c r="C87" s="10">
        <f t="shared" si="0"/>
        <v>1428166.8096550317</v>
      </c>
      <c r="D87" s="10">
        <f t="shared" si="0"/>
        <v>0</v>
      </c>
      <c r="E87" s="10">
        <v>-1.0150033662727554E-6</v>
      </c>
      <c r="F87" s="10">
        <v>1.2077548501509741E-6</v>
      </c>
      <c r="G87" s="10">
        <v>0</v>
      </c>
      <c r="I87" s="6">
        <v>2</v>
      </c>
      <c r="J87" s="67">
        <f>J86+G40</f>
        <v>-3.3125000000000002E-2</v>
      </c>
      <c r="K87" s="15">
        <f>I36</f>
        <v>20672.340481157189</v>
      </c>
      <c r="L87" s="15">
        <f>J36</f>
        <v>1722.110182065423</v>
      </c>
      <c r="AV87" s="46"/>
      <c r="AZ87" s="46"/>
    </row>
    <row r="88" spans="2:52" x14ac:dyDescent="0.3">
      <c r="B88" s="10">
        <f t="shared" si="0"/>
        <v>0</v>
      </c>
      <c r="C88" s="10">
        <f t="shared" si="0"/>
        <v>0</v>
      </c>
      <c r="D88" s="10">
        <f t="shared" si="0"/>
        <v>759690.46415203612</v>
      </c>
      <c r="E88" s="10">
        <v>0</v>
      </c>
      <c r="F88" s="10">
        <v>0</v>
      </c>
      <c r="G88" s="10">
        <v>1.3163255920504367E-6</v>
      </c>
      <c r="I88" s="60">
        <v>3</v>
      </c>
      <c r="J88" s="67">
        <f>J87</f>
        <v>-3.3125000000000002E-2</v>
      </c>
      <c r="K88" s="15">
        <f>I44</f>
        <v>19222.783381557521</v>
      </c>
      <c r="L88" s="15">
        <f>J40</f>
        <v>1791.6959695082271</v>
      </c>
      <c r="AV88" s="46"/>
      <c r="AZ88" s="46"/>
    </row>
    <row r="89" spans="2:52" x14ac:dyDescent="0.3">
      <c r="I89" s="60">
        <v>3</v>
      </c>
      <c r="J89" s="67">
        <f>J88+G44</f>
        <v>-1.5625E-2</v>
      </c>
      <c r="K89" s="15">
        <f>I44</f>
        <v>19222.783381557521</v>
      </c>
      <c r="L89" s="15">
        <f>J40</f>
        <v>1791.6959695082271</v>
      </c>
      <c r="AV89" s="46"/>
      <c r="AZ89" s="46"/>
    </row>
    <row r="90" spans="2:52" x14ac:dyDescent="0.3">
      <c r="C90" s="24" t="s">
        <v>47</v>
      </c>
      <c r="D90" s="24"/>
      <c r="F90" s="24" t="s">
        <v>48</v>
      </c>
      <c r="G90" s="28"/>
      <c r="I90" s="60">
        <v>4</v>
      </c>
      <c r="J90" s="67">
        <f>J89</f>
        <v>-1.5625E-2</v>
      </c>
      <c r="K90" s="15">
        <f>I44</f>
        <v>19222.783381557521</v>
      </c>
      <c r="L90" s="15">
        <f>J44</f>
        <v>1791.6959695082271</v>
      </c>
      <c r="AV90" s="46"/>
      <c r="AZ90" s="46"/>
    </row>
    <row r="91" spans="2:52" x14ac:dyDescent="0.3">
      <c r="C91" s="14">
        <f>C5</f>
        <v>1276.0625</v>
      </c>
      <c r="F91" s="21" cm="1">
        <f t="array" ref="F91:F93">MMULT(_xlfn.ANCHORARRAY(E86),C91:C93)</f>
        <v>-2.7992548162726269E-7</v>
      </c>
      <c r="I91" s="60">
        <v>4</v>
      </c>
      <c r="J91" s="67">
        <f>J90+G48</f>
        <v>0</v>
      </c>
      <c r="K91" s="15">
        <f>I44</f>
        <v>19222.783381557521</v>
      </c>
      <c r="L91" s="15">
        <f>J44</f>
        <v>1791.6959695082271</v>
      </c>
      <c r="AV91" s="46"/>
      <c r="AZ91" s="46"/>
    </row>
    <row r="92" spans="2:52" x14ac:dyDescent="0.3">
      <c r="C92" s="14">
        <f>D5</f>
        <v>2552.125</v>
      </c>
      <c r="F92" s="21">
        <v>1.7871336138671268E-3</v>
      </c>
      <c r="I92" s="60">
        <v>5</v>
      </c>
      <c r="J92" s="67">
        <f>J91</f>
        <v>0</v>
      </c>
      <c r="K92" s="15">
        <f>I48</f>
        <v>28405.620168060494</v>
      </c>
      <c r="L92" s="15">
        <f>J48</f>
        <v>1350.8751636744805</v>
      </c>
      <c r="AV92" s="46"/>
      <c r="AZ92" s="46"/>
    </row>
    <row r="93" spans="2:52" x14ac:dyDescent="0.3">
      <c r="C93" s="14">
        <v>0</v>
      </c>
      <c r="F93" s="21">
        <v>0</v>
      </c>
      <c r="I93" s="60">
        <v>5</v>
      </c>
      <c r="J93" s="67">
        <f>J92+G52</f>
        <v>1.5625E-2</v>
      </c>
      <c r="K93" s="15">
        <f>I48</f>
        <v>28405.620168060494</v>
      </c>
      <c r="L93" s="15">
        <f>J48</f>
        <v>1350.8751636744805</v>
      </c>
      <c r="AV93" s="46"/>
      <c r="AZ93" s="46"/>
    </row>
    <row r="94" spans="2:52" x14ac:dyDescent="0.3">
      <c r="I94" s="60">
        <v>6</v>
      </c>
      <c r="J94" s="67">
        <f>J93</f>
        <v>1.5625E-2</v>
      </c>
      <c r="K94" s="15">
        <f>I52</f>
        <v>28405.620168060494</v>
      </c>
      <c r="L94" s="15">
        <f>J52</f>
        <v>1350.8751636744805</v>
      </c>
    </row>
    <row r="95" spans="2:52" x14ac:dyDescent="0.3">
      <c r="I95" s="60">
        <v>6</v>
      </c>
      <c r="J95" s="67">
        <f>J94+G56</f>
        <v>3.3125000000000002E-2</v>
      </c>
      <c r="K95" s="15">
        <f>I52</f>
        <v>28405.620168060494</v>
      </c>
      <c r="L95" s="15">
        <f>J52</f>
        <v>1350.8751636744805</v>
      </c>
    </row>
    <row r="96" spans="2:52" x14ac:dyDescent="0.3">
      <c r="I96" s="60">
        <v>7</v>
      </c>
      <c r="J96" s="67">
        <f>J95</f>
        <v>3.3125000000000002E-2</v>
      </c>
      <c r="K96" s="15">
        <f>I56</f>
        <v>38534.937611432295</v>
      </c>
      <c r="L96" s="15">
        <f>J56</f>
        <v>864.61868523025953</v>
      </c>
    </row>
    <row r="97" spans="9:52" x14ac:dyDescent="0.3">
      <c r="I97" s="60">
        <v>7</v>
      </c>
      <c r="J97" s="67">
        <f>J96+G60</f>
        <v>5.0625000000000003E-2</v>
      </c>
      <c r="K97" s="15">
        <f>I60</f>
        <v>38534.937611432295</v>
      </c>
      <c r="L97" s="15">
        <f>J60</f>
        <v>864.61868523025953</v>
      </c>
    </row>
    <row r="98" spans="9:52" x14ac:dyDescent="0.3">
      <c r="I98" s="60">
        <v>8</v>
      </c>
      <c r="J98" s="67">
        <f>J97</f>
        <v>5.0625000000000003E-2</v>
      </c>
      <c r="K98" s="15">
        <f>I60</f>
        <v>38534.937611432295</v>
      </c>
      <c r="L98" s="15">
        <f>J60</f>
        <v>864.61868523025953</v>
      </c>
    </row>
    <row r="99" spans="9:52" x14ac:dyDescent="0.3">
      <c r="I99" s="60">
        <v>8</v>
      </c>
      <c r="J99" s="67">
        <f>J98+G60</f>
        <v>6.8125000000000005E-2</v>
      </c>
      <c r="K99" s="15">
        <f>I60</f>
        <v>38534.937611432295</v>
      </c>
      <c r="L99" s="15">
        <f>J60</f>
        <v>864.61868523025953</v>
      </c>
    </row>
    <row r="100" spans="9:52" x14ac:dyDescent="0.3">
      <c r="I100" s="60">
        <v>9</v>
      </c>
      <c r="J100" s="67">
        <f>J99</f>
        <v>6.8125000000000005E-2</v>
      </c>
      <c r="K100" s="15">
        <f>I64</f>
        <v>1.9633720228689924E-3</v>
      </c>
      <c r="L100" s="15">
        <f>J64</f>
        <v>5.8927610339600727E-4</v>
      </c>
    </row>
    <row r="101" spans="9:52" x14ac:dyDescent="0.3">
      <c r="I101" s="60">
        <v>9</v>
      </c>
      <c r="J101" s="67">
        <f>J100+G64</f>
        <v>6.8125000000000005E-2</v>
      </c>
      <c r="K101" s="15">
        <f>I64</f>
        <v>1.9633720228689924E-3</v>
      </c>
      <c r="L101" s="15">
        <f>J64</f>
        <v>5.8927610339600727E-4</v>
      </c>
      <c r="M101" s="31"/>
      <c r="O101" s="33"/>
      <c r="P101" s="33"/>
      <c r="Q101" s="31"/>
      <c r="R101" s="32"/>
      <c r="S101" s="33"/>
      <c r="T101" s="33"/>
      <c r="U101" s="31"/>
      <c r="V101" s="32"/>
      <c r="W101" s="33"/>
      <c r="X101" s="33"/>
      <c r="Y101" s="31"/>
      <c r="Z101" s="32"/>
      <c r="AA101" s="33"/>
      <c r="AB101" s="33"/>
      <c r="AV101" s="46"/>
      <c r="AZ101" s="46"/>
    </row>
    <row r="102" spans="9:52" x14ac:dyDescent="0.3">
      <c r="I102" s="60">
        <v>10</v>
      </c>
      <c r="J102" s="67">
        <f>J101</f>
        <v>6.8125000000000005E-2</v>
      </c>
      <c r="K102" s="15">
        <f>I68</f>
        <v>1.9633720228689924E-3</v>
      </c>
      <c r="L102" s="15">
        <f>J68</f>
        <v>5.8927610339600727E-4</v>
      </c>
      <c r="AV102" s="46"/>
      <c r="AZ102" s="46"/>
    </row>
    <row r="103" spans="9:52" x14ac:dyDescent="0.3">
      <c r="I103" s="60">
        <v>10</v>
      </c>
      <c r="J103" s="67">
        <f>J102+G68</f>
        <v>6.8125000000000005E-2</v>
      </c>
      <c r="K103" s="15">
        <f>I68</f>
        <v>1.9633720228689924E-3</v>
      </c>
      <c r="L103" s="15">
        <f>J68</f>
        <v>5.8927610339600727E-4</v>
      </c>
      <c r="AV103" s="46"/>
      <c r="AZ103" s="46"/>
    </row>
    <row r="104" spans="9:52" x14ac:dyDescent="0.3">
      <c r="I104" s="60">
        <v>11</v>
      </c>
      <c r="J104" s="67">
        <f>J103</f>
        <v>6.8125000000000005E-2</v>
      </c>
      <c r="K104" s="15">
        <f>I72</f>
        <v>5.8885731722913275E-4</v>
      </c>
      <c r="L104" s="15">
        <f>J72</f>
        <v>1.9637908090358665E-3</v>
      </c>
      <c r="AV104" s="46"/>
      <c r="AZ104" s="46"/>
    </row>
    <row r="105" spans="9:52" x14ac:dyDescent="0.3">
      <c r="I105" s="60">
        <v>11</v>
      </c>
      <c r="J105" s="67">
        <f>J104+G72</f>
        <v>6.8125000000000005E-2</v>
      </c>
      <c r="K105" s="15">
        <f>I72</f>
        <v>5.8885731722913275E-4</v>
      </c>
      <c r="L105" s="15">
        <f>J72</f>
        <v>1.9637908090358665E-3</v>
      </c>
      <c r="AV105" s="46"/>
      <c r="AZ105" s="46"/>
    </row>
    <row r="106" spans="9:52" x14ac:dyDescent="0.3">
      <c r="I106" s="60">
        <v>12</v>
      </c>
      <c r="J106" s="67">
        <f>J105</f>
        <v>6.8125000000000005E-2</v>
      </c>
      <c r="K106" s="15">
        <f>I76</f>
        <v>5.8885731722913275E-4</v>
      </c>
      <c r="L106" s="15">
        <f>J76</f>
        <v>1.9637908090358665E-3</v>
      </c>
      <c r="AV106" s="46"/>
      <c r="AZ106" s="46"/>
    </row>
    <row r="107" spans="9:52" x14ac:dyDescent="0.3">
      <c r="I107" s="60">
        <v>12</v>
      </c>
      <c r="J107" s="67">
        <f>J106+G76</f>
        <v>6.8125000000000005E-2</v>
      </c>
      <c r="K107" s="15">
        <f>I76</f>
        <v>5.8885731722913275E-4</v>
      </c>
      <c r="L107" s="15">
        <f>J76</f>
        <v>1.9637908090358665E-3</v>
      </c>
      <c r="AV107" s="46"/>
      <c r="AZ107" s="46"/>
    </row>
    <row r="108" spans="9:52" x14ac:dyDescent="0.3">
      <c r="I108" s="60">
        <v>0</v>
      </c>
      <c r="J108" s="67">
        <f>J107</f>
        <v>6.8125000000000005E-2</v>
      </c>
      <c r="K108">
        <v>0</v>
      </c>
      <c r="L108">
        <v>0</v>
      </c>
      <c r="AV108" s="46"/>
      <c r="AZ108" s="46"/>
    </row>
    <row r="109" spans="9:52" x14ac:dyDescent="0.3">
      <c r="AV109" s="46"/>
      <c r="AZ109" s="46"/>
    </row>
    <row r="110" spans="9:52" x14ac:dyDescent="0.3">
      <c r="AV110" s="46"/>
      <c r="AZ110" s="46"/>
    </row>
    <row r="119" spans="48:52" x14ac:dyDescent="0.3">
      <c r="AV119" s="46"/>
      <c r="AZ119" s="46"/>
    </row>
    <row r="120" spans="48:52" x14ac:dyDescent="0.3">
      <c r="AV120" s="46"/>
      <c r="AZ120" s="46"/>
    </row>
    <row r="121" spans="48:52" x14ac:dyDescent="0.3">
      <c r="AV121" s="46"/>
      <c r="AZ121" s="46"/>
    </row>
    <row r="122" spans="48:52" x14ac:dyDescent="0.3">
      <c r="AV122" s="46"/>
      <c r="AZ122" s="46"/>
    </row>
    <row r="123" spans="48:52" x14ac:dyDescent="0.3">
      <c r="AV123" s="46"/>
      <c r="AZ123" s="46"/>
    </row>
    <row r="124" spans="48:52" x14ac:dyDescent="0.3">
      <c r="AV124" s="46"/>
      <c r="AZ124" s="46"/>
    </row>
    <row r="125" spans="48:52" x14ac:dyDescent="0.3">
      <c r="AV125" s="46"/>
      <c r="AZ125" s="46"/>
    </row>
    <row r="126" spans="48:52" x14ac:dyDescent="0.3">
      <c r="AV126" s="46"/>
      <c r="AZ126" s="46"/>
    </row>
    <row r="127" spans="48:52" x14ac:dyDescent="0.3">
      <c r="AV127" s="46"/>
      <c r="AZ127" s="46"/>
    </row>
    <row r="128" spans="48:52" x14ac:dyDescent="0.3">
      <c r="AV128" s="46"/>
      <c r="AZ128" s="46"/>
    </row>
    <row r="136" spans="48:52" x14ac:dyDescent="0.3">
      <c r="AV136" s="46"/>
      <c r="AZ136" s="46"/>
    </row>
    <row r="137" spans="48:52" x14ac:dyDescent="0.3">
      <c r="AV137" s="46"/>
      <c r="AZ137" s="46"/>
    </row>
    <row r="138" spans="48:52" x14ac:dyDescent="0.3">
      <c r="AV138" s="46"/>
      <c r="AZ138" s="46"/>
    </row>
    <row r="139" spans="48:52" x14ac:dyDescent="0.3">
      <c r="AV139" s="46"/>
      <c r="AZ139" s="46"/>
    </row>
    <row r="140" spans="48:52" x14ac:dyDescent="0.3">
      <c r="AV140" s="46"/>
      <c r="AZ140" s="46"/>
    </row>
    <row r="141" spans="48:52" x14ac:dyDescent="0.3">
      <c r="AV141" s="46"/>
      <c r="AZ141" s="46"/>
    </row>
    <row r="142" spans="48:52" x14ac:dyDescent="0.3">
      <c r="AV142" s="46"/>
      <c r="AZ142" s="46"/>
    </row>
    <row r="143" spans="48:52" x14ac:dyDescent="0.3">
      <c r="AV143" s="46"/>
      <c r="AZ143" s="46"/>
    </row>
    <row r="144" spans="48:52" x14ac:dyDescent="0.3">
      <c r="AV144" s="46"/>
      <c r="AZ144" s="46"/>
    </row>
    <row r="145" spans="48:52" x14ac:dyDescent="0.3">
      <c r="AV145" s="46"/>
      <c r="AZ145" s="46"/>
    </row>
    <row r="153" spans="48:52" x14ac:dyDescent="0.3">
      <c r="AV153" s="46"/>
      <c r="AZ153" s="46"/>
    </row>
    <row r="154" spans="48:52" x14ac:dyDescent="0.3">
      <c r="AV154" s="46"/>
      <c r="AZ154" s="46"/>
    </row>
    <row r="155" spans="48:52" x14ac:dyDescent="0.3">
      <c r="AV155" s="46"/>
      <c r="AZ155" s="46"/>
    </row>
    <row r="156" spans="48:52" x14ac:dyDescent="0.3">
      <c r="AV156" s="46"/>
      <c r="AZ156" s="46"/>
    </row>
    <row r="157" spans="48:52" x14ac:dyDescent="0.3">
      <c r="AV157" s="46"/>
      <c r="AZ157" s="46"/>
    </row>
    <row r="158" spans="48:52" x14ac:dyDescent="0.3">
      <c r="AV158" s="46"/>
      <c r="AZ158" s="46"/>
    </row>
    <row r="159" spans="48:52" x14ac:dyDescent="0.3">
      <c r="AV159" s="46"/>
      <c r="AZ159" s="46"/>
    </row>
    <row r="160" spans="48:52" x14ac:dyDescent="0.3">
      <c r="AV160" s="46"/>
      <c r="AZ160" s="46"/>
    </row>
    <row r="161" spans="48:52" x14ac:dyDescent="0.3">
      <c r="AV161" s="46"/>
      <c r="AZ161" s="46"/>
    </row>
    <row r="162" spans="48:52" x14ac:dyDescent="0.3">
      <c r="AV162" s="46"/>
      <c r="AZ162" s="46"/>
    </row>
    <row r="170" spans="48:52" x14ac:dyDescent="0.3">
      <c r="AV170" s="46"/>
      <c r="AZ170" s="46"/>
    </row>
    <row r="171" spans="48:52" x14ac:dyDescent="0.3">
      <c r="AV171" s="46"/>
      <c r="AZ171" s="46"/>
    </row>
    <row r="172" spans="48:52" x14ac:dyDescent="0.3">
      <c r="AV172" s="46"/>
      <c r="AZ172" s="46"/>
    </row>
    <row r="173" spans="48:52" x14ac:dyDescent="0.3">
      <c r="AV173" s="46"/>
      <c r="AZ173" s="46"/>
    </row>
    <row r="174" spans="48:52" x14ac:dyDescent="0.3">
      <c r="AV174" s="46"/>
      <c r="AZ174" s="46"/>
    </row>
    <row r="175" spans="48:52" x14ac:dyDescent="0.3">
      <c r="AV175" s="46"/>
      <c r="AZ175" s="46"/>
    </row>
    <row r="176" spans="48:52" x14ac:dyDescent="0.3">
      <c r="AV176" s="46"/>
      <c r="AZ176" s="46"/>
    </row>
    <row r="177" spans="48:52" x14ac:dyDescent="0.3">
      <c r="AV177" s="46"/>
      <c r="AZ177" s="46"/>
    </row>
    <row r="178" spans="48:52" x14ac:dyDescent="0.3">
      <c r="AV178" s="46"/>
      <c r="AZ178" s="46"/>
    </row>
    <row r="179" spans="48:52" x14ac:dyDescent="0.3">
      <c r="AV179" s="46"/>
      <c r="AZ179" s="46"/>
    </row>
    <row r="187" spans="48:52" x14ac:dyDescent="0.3">
      <c r="AV187" s="46"/>
      <c r="AZ187" s="46"/>
    </row>
    <row r="188" spans="48:52" x14ac:dyDescent="0.3">
      <c r="AV188" s="46"/>
      <c r="AZ188" s="46"/>
    </row>
    <row r="189" spans="48:52" x14ac:dyDescent="0.3">
      <c r="AV189" s="46"/>
      <c r="AZ189" s="46"/>
    </row>
    <row r="190" spans="48:52" x14ac:dyDescent="0.3">
      <c r="AV190" s="46"/>
      <c r="AZ190" s="46"/>
    </row>
    <row r="191" spans="48:52" x14ac:dyDescent="0.3">
      <c r="AV191" s="46"/>
      <c r="AZ191" s="46"/>
    </row>
    <row r="192" spans="48:52" x14ac:dyDescent="0.3">
      <c r="AV192" s="46"/>
      <c r="AZ192" s="46"/>
    </row>
    <row r="193" spans="48:52" x14ac:dyDescent="0.3">
      <c r="AV193" s="46"/>
      <c r="AZ193" s="46"/>
    </row>
    <row r="194" spans="48:52" x14ac:dyDescent="0.3">
      <c r="AV194" s="46"/>
      <c r="AZ194" s="46"/>
    </row>
    <row r="195" spans="48:52" x14ac:dyDescent="0.3">
      <c r="AV195" s="46"/>
      <c r="AZ195" s="46"/>
    </row>
    <row r="196" spans="48:52" x14ac:dyDescent="0.3">
      <c r="AV196" s="46"/>
      <c r="AZ196" s="46"/>
    </row>
    <row r="204" spans="48:52" x14ac:dyDescent="0.3">
      <c r="AV204" s="46"/>
      <c r="AZ204" s="46"/>
    </row>
    <row r="205" spans="48:52" x14ac:dyDescent="0.3">
      <c r="AV205" s="46"/>
      <c r="AZ205" s="46"/>
    </row>
    <row r="206" spans="48:52" x14ac:dyDescent="0.3">
      <c r="AV206" s="46"/>
      <c r="AZ206" s="46"/>
    </row>
    <row r="207" spans="48:52" x14ac:dyDescent="0.3">
      <c r="AV207" s="46"/>
      <c r="AZ207" s="46"/>
    </row>
    <row r="208" spans="48:52" x14ac:dyDescent="0.3">
      <c r="AV208" s="46"/>
      <c r="AZ208" s="46"/>
    </row>
    <row r="209" spans="48:52" x14ac:dyDescent="0.3">
      <c r="AV209" s="46"/>
      <c r="AZ209" s="46"/>
    </row>
    <row r="210" spans="48:52" x14ac:dyDescent="0.3">
      <c r="AV210" s="46"/>
      <c r="AZ210" s="46"/>
    </row>
    <row r="211" spans="48:52" x14ac:dyDescent="0.3">
      <c r="AV211" s="46"/>
      <c r="AZ211" s="46"/>
    </row>
    <row r="212" spans="48:52" x14ac:dyDescent="0.3">
      <c r="AV212" s="46"/>
      <c r="AZ212" s="46"/>
    </row>
    <row r="213" spans="48:52" x14ac:dyDescent="0.3">
      <c r="AV213" s="46"/>
      <c r="AZ213" s="46"/>
    </row>
  </sheetData>
  <mergeCells count="22">
    <mergeCell ref="B1:G1"/>
    <mergeCell ref="B22:G22"/>
    <mergeCell ref="I2:J2"/>
    <mergeCell ref="I3:J3"/>
    <mergeCell ref="I7:J7"/>
    <mergeCell ref="B3:D3"/>
    <mergeCell ref="F3:G3"/>
    <mergeCell ref="D7:G7"/>
    <mergeCell ref="B8:C8"/>
    <mergeCell ref="I4:J4"/>
    <mergeCell ref="I5:J5"/>
    <mergeCell ref="L7:M7"/>
    <mergeCell ref="O6:Q6"/>
    <mergeCell ref="P7:Q7"/>
    <mergeCell ref="O7:O8"/>
    <mergeCell ref="B30:G30"/>
    <mergeCell ref="P26:Q26"/>
    <mergeCell ref="B81:G81"/>
    <mergeCell ref="I81:L81"/>
    <mergeCell ref="O23:Q23"/>
    <mergeCell ref="P24:Q24"/>
    <mergeCell ref="P25:Q25"/>
  </mergeCells>
  <conditionalFormatting sqref="O9:Q20">
    <cfRule type="colorScale" priority="1">
      <colorScale>
        <cfvo type="num" val="1"/>
        <cfvo type="num" val="2.5"/>
        <cfvo type="num" val="5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AE47-6192-4357-A968-D758D43648E8}">
  <sheetPr codeName="Sheet2"/>
  <dimension ref="A1:AG70"/>
  <sheetViews>
    <sheetView zoomScale="70" zoomScaleNormal="70" workbookViewId="0">
      <selection activeCell="B2" sqref="B2"/>
    </sheetView>
  </sheetViews>
  <sheetFormatPr defaultRowHeight="14.4" x14ac:dyDescent="0.3"/>
  <cols>
    <col min="2" max="7" width="17.77734375" customWidth="1"/>
    <col min="9" max="9" width="11.6640625" customWidth="1"/>
    <col min="10" max="10" width="11.33203125" customWidth="1"/>
    <col min="11" max="11" width="7.33203125" customWidth="1"/>
    <col min="12" max="12" width="11.33203125" customWidth="1"/>
    <col min="15" max="15" width="11.5546875" bestFit="1" customWidth="1"/>
    <col min="16" max="16" width="10.5546875" bestFit="1" customWidth="1"/>
    <col min="17" max="17" width="9.5546875" bestFit="1" customWidth="1"/>
    <col min="19" max="20" width="9" bestFit="1" customWidth="1"/>
    <col min="21" max="21" width="9.21875" bestFit="1" customWidth="1"/>
    <col min="23" max="23" width="10.21875" bestFit="1" customWidth="1"/>
    <col min="24" max="24" width="9.5546875" bestFit="1" customWidth="1"/>
    <col min="25" max="25" width="10.21875" bestFit="1" customWidth="1"/>
    <col min="27" max="27" width="11.109375" bestFit="1" customWidth="1"/>
    <col min="28" max="28" width="9.5546875" bestFit="1" customWidth="1"/>
    <col min="29" max="29" width="10.5546875" bestFit="1" customWidth="1"/>
    <col min="31" max="31" width="11.109375" customWidth="1"/>
    <col min="32" max="32" width="12.5546875" customWidth="1"/>
    <col min="33" max="33" width="12.109375" customWidth="1"/>
  </cols>
  <sheetData>
    <row r="1" spans="1:33" ht="33.6" thickBot="1" x14ac:dyDescent="0.7">
      <c r="B1" s="81" t="s">
        <v>107</v>
      </c>
      <c r="C1" s="81"/>
      <c r="D1" s="81"/>
      <c r="E1" s="81"/>
      <c r="F1" s="81"/>
      <c r="G1" s="81"/>
      <c r="H1" s="95" t="s">
        <v>16</v>
      </c>
      <c r="I1" s="95"/>
      <c r="J1" s="95"/>
    </row>
    <row r="2" spans="1:33" ht="15.6" thickTop="1" thickBot="1" x14ac:dyDescent="0.35"/>
    <row r="3" spans="1:33" x14ac:dyDescent="0.3">
      <c r="B3" s="69" t="s">
        <v>38</v>
      </c>
      <c r="C3" s="69"/>
      <c r="D3" s="69"/>
      <c r="E3" s="69"/>
      <c r="F3" s="69"/>
      <c r="G3" s="69"/>
      <c r="I3" s="96"/>
      <c r="J3" s="97"/>
      <c r="K3" s="97"/>
      <c r="L3" s="97"/>
      <c r="M3" s="98"/>
      <c r="N3" s="27"/>
      <c r="O3" s="82" t="s">
        <v>39</v>
      </c>
      <c r="P3" s="83"/>
    </row>
    <row r="4" spans="1:33" x14ac:dyDescent="0.3">
      <c r="B4" s="20" t="s">
        <v>32</v>
      </c>
      <c r="C4" s="20" t="s">
        <v>1</v>
      </c>
      <c r="D4" s="20" t="s">
        <v>34</v>
      </c>
      <c r="E4" s="20" t="s">
        <v>35</v>
      </c>
      <c r="F4" s="20" t="s">
        <v>36</v>
      </c>
      <c r="G4" s="20" t="s">
        <v>37</v>
      </c>
      <c r="I4" s="99"/>
      <c r="J4" s="90"/>
      <c r="K4" s="90"/>
      <c r="L4" s="90"/>
      <c r="M4" s="100"/>
      <c r="O4" s="84" t="s">
        <v>40</v>
      </c>
      <c r="P4" s="85"/>
    </row>
    <row r="5" spans="1:33" x14ac:dyDescent="0.3">
      <c r="B5" s="25" t="str">
        <f t="shared" ref="B5:G5" si="0">B60</f>
        <v>SYMMETRIC</v>
      </c>
      <c r="C5" s="8">
        <f t="shared" si="0"/>
        <v>0.15083333333333335</v>
      </c>
      <c r="D5" s="26">
        <f t="shared" si="0"/>
        <v>10033378.393314542</v>
      </c>
      <c r="E5" s="26">
        <f t="shared" si="0"/>
        <v>7402690.9295038236</v>
      </c>
      <c r="F5" s="8">
        <f t="shared" si="0"/>
        <v>0.5011043691826198</v>
      </c>
      <c r="G5" s="26">
        <f t="shared" si="0"/>
        <v>4819188.2800193867</v>
      </c>
      <c r="I5" s="99"/>
      <c r="J5" s="90"/>
      <c r="K5" s="90"/>
      <c r="L5" s="90"/>
      <c r="M5" s="100"/>
      <c r="O5" s="77" t="s">
        <v>41</v>
      </c>
      <c r="P5" s="78"/>
    </row>
    <row r="6" spans="1:33" x14ac:dyDescent="0.3">
      <c r="C6" s="30" t="s">
        <v>15</v>
      </c>
      <c r="D6" s="30" t="s">
        <v>12</v>
      </c>
      <c r="E6" s="30" t="s">
        <v>12</v>
      </c>
      <c r="G6" s="30" t="s">
        <v>12</v>
      </c>
      <c r="I6" s="99"/>
      <c r="J6" s="90"/>
      <c r="K6" s="90"/>
      <c r="L6" s="90"/>
      <c r="M6" s="100"/>
      <c r="O6" s="79" t="s">
        <v>42</v>
      </c>
      <c r="P6" s="80"/>
    </row>
    <row r="7" spans="1:33" x14ac:dyDescent="0.3">
      <c r="B7" s="20" t="s">
        <v>50</v>
      </c>
      <c r="C7" s="20" t="s">
        <v>51</v>
      </c>
      <c r="D7" s="20" t="s">
        <v>52</v>
      </c>
      <c r="E7" s="20" t="s">
        <v>53</v>
      </c>
      <c r="F7" s="20" t="s">
        <v>54</v>
      </c>
      <c r="G7" s="20" t="s">
        <v>55</v>
      </c>
      <c r="I7" s="99"/>
      <c r="J7" s="90"/>
      <c r="K7" s="90"/>
      <c r="L7" s="90"/>
      <c r="M7" s="100"/>
    </row>
    <row r="8" spans="1:33" x14ac:dyDescent="0.3">
      <c r="B8" s="25">
        <f>B13/C5</f>
        <v>8453.0386740331487</v>
      </c>
      <c r="C8" s="25">
        <f>C13/C5</f>
        <v>16906.077348066297</v>
      </c>
      <c r="D8" s="26">
        <f>F68</f>
        <v>-1.8608438843123768E-6</v>
      </c>
      <c r="E8" s="26">
        <f>F69</f>
        <v>1.8615982726849815E-3</v>
      </c>
      <c r="F8" s="29">
        <f>D8*F13/2*1000</f>
        <v>-4.1217692037519141E-2</v>
      </c>
      <c r="G8" s="29">
        <f>E8*G13*1000</f>
        <v>6.05019438622619</v>
      </c>
      <c r="I8" s="99"/>
      <c r="J8" s="90"/>
      <c r="K8" s="90"/>
      <c r="L8" s="90"/>
      <c r="M8" s="100"/>
    </row>
    <row r="9" spans="1:33" x14ac:dyDescent="0.3">
      <c r="B9" s="30" t="s">
        <v>12</v>
      </c>
      <c r="C9" s="30" t="s">
        <v>12</v>
      </c>
      <c r="F9" s="30" t="s">
        <v>58</v>
      </c>
      <c r="G9" s="30" t="s">
        <v>58</v>
      </c>
      <c r="I9" s="99"/>
      <c r="J9" s="90"/>
      <c r="K9" s="90"/>
      <c r="L9" s="90"/>
      <c r="M9" s="100"/>
    </row>
    <row r="10" spans="1:33" x14ac:dyDescent="0.3">
      <c r="G10" s="30"/>
      <c r="I10" s="99"/>
      <c r="J10" s="90"/>
      <c r="K10" s="90"/>
      <c r="L10" s="90"/>
      <c r="M10" s="100"/>
    </row>
    <row r="11" spans="1:33" x14ac:dyDescent="0.3">
      <c r="B11" s="69" t="s">
        <v>43</v>
      </c>
      <c r="C11" s="69"/>
      <c r="D11" s="69"/>
      <c r="F11" s="69" t="s">
        <v>56</v>
      </c>
      <c r="G11" s="69"/>
      <c r="H11" s="27"/>
      <c r="I11" s="99"/>
      <c r="J11" s="90"/>
      <c r="K11" s="90"/>
      <c r="L11" s="90"/>
      <c r="M11" s="100"/>
    </row>
    <row r="12" spans="1:33" ht="15" thickBot="1" x14ac:dyDescent="0.35">
      <c r="B12" s="20" t="s">
        <v>44</v>
      </c>
      <c r="C12" s="20" t="s">
        <v>45</v>
      </c>
      <c r="D12" s="20" t="s">
        <v>46</v>
      </c>
      <c r="F12" s="20" t="s">
        <v>61</v>
      </c>
      <c r="G12" s="20" t="s">
        <v>60</v>
      </c>
      <c r="I12" s="101"/>
      <c r="J12" s="102"/>
      <c r="K12" s="102"/>
      <c r="L12" s="102"/>
      <c r="M12" s="103"/>
    </row>
    <row r="13" spans="1:33" x14ac:dyDescent="0.3">
      <c r="B13" s="5">
        <f>850*6/4</f>
        <v>1275</v>
      </c>
      <c r="C13" s="5">
        <f>850*6/2</f>
        <v>2550</v>
      </c>
      <c r="D13" s="1">
        <v>0</v>
      </c>
      <c r="F13" s="1">
        <v>44.3</v>
      </c>
      <c r="G13" s="1">
        <f>6.5/2</f>
        <v>3.25</v>
      </c>
    </row>
    <row r="15" spans="1:33" x14ac:dyDescent="0.3">
      <c r="B15" s="69" t="s">
        <v>49</v>
      </c>
      <c r="C15" s="69"/>
      <c r="D15" s="69"/>
      <c r="E15" s="69"/>
      <c r="F15" s="69"/>
      <c r="G15" s="69"/>
      <c r="H15" s="19"/>
      <c r="I15" s="19"/>
      <c r="J15" s="19"/>
      <c r="K15" s="19"/>
      <c r="L15" s="19"/>
      <c r="M15" s="19"/>
    </row>
    <row r="16" spans="1:33" s="11" customFormat="1" ht="13.2" customHeight="1" x14ac:dyDescent="0.3">
      <c r="A16" s="11" t="s">
        <v>13</v>
      </c>
      <c r="B16" s="12" t="s">
        <v>0</v>
      </c>
      <c r="C16" s="12" t="s">
        <v>25</v>
      </c>
      <c r="D16" s="12" t="s">
        <v>62</v>
      </c>
      <c r="E16" s="12" t="s">
        <v>18</v>
      </c>
      <c r="F16" s="12" t="s">
        <v>17</v>
      </c>
      <c r="G16" s="12" t="s">
        <v>19</v>
      </c>
      <c r="I16" s="12" t="s">
        <v>22</v>
      </c>
      <c r="J16" s="12" t="s">
        <v>23</v>
      </c>
      <c r="K16" s="12" t="s">
        <v>21</v>
      </c>
      <c r="L16" s="12" t="s">
        <v>20</v>
      </c>
      <c r="M16" s="12" t="s">
        <v>24</v>
      </c>
      <c r="N16" s="12"/>
      <c r="O16" s="94" t="s">
        <v>27</v>
      </c>
      <c r="P16" s="94"/>
      <c r="Q16" s="94"/>
      <c r="S16" s="94" t="s">
        <v>26</v>
      </c>
      <c r="T16" s="94"/>
      <c r="U16" s="94"/>
      <c r="W16" s="94" t="s">
        <v>28</v>
      </c>
      <c r="X16" s="94"/>
      <c r="Y16" s="94"/>
      <c r="AA16" s="94" t="s">
        <v>29</v>
      </c>
      <c r="AB16" s="94"/>
      <c r="AC16" s="94"/>
      <c r="AE16" s="94" t="s">
        <v>30</v>
      </c>
      <c r="AF16" s="94"/>
      <c r="AG16" s="94"/>
    </row>
    <row r="17" spans="1:33" x14ac:dyDescent="0.3">
      <c r="A17" s="93">
        <v>1</v>
      </c>
      <c r="B17" s="1">
        <v>2</v>
      </c>
      <c r="C17" s="5">
        <v>30</v>
      </c>
      <c r="D17" s="3" t="str">
        <f>_xlfn.XLOOKUP($B17,Materials!$B$2:$H$2,Materials!$B$3:$H$3,"## ##")</f>
        <v>T1100S/UF3376</v>
      </c>
      <c r="E17" s="9">
        <f>_xlfn.XLOOKUP(B17,Materials!$B$2:$H$2,Materials!B$17:H$17,"## ##")</f>
        <v>0.01</v>
      </c>
      <c r="F17" s="7">
        <v>0.4</v>
      </c>
      <c r="G17" s="9">
        <f>E17/(1-F17)</f>
        <v>1.6666666666666666E-2</v>
      </c>
      <c r="I17" s="4">
        <f>_xlfn.XLOOKUP($B17,Materials!$B$2:$H$2,Materials!$B$5:$H$5,"## ##")</f>
        <v>28400000</v>
      </c>
      <c r="J17" s="4">
        <f>_xlfn.XLOOKUP($B17,Materials!B$2:H$2,Materials!B$6:H$6,"## ##")</f>
        <v>1520000</v>
      </c>
      <c r="K17" s="13">
        <f>_xlfn.XLOOKUP($B17,Materials!B$2:H$2,Materials!B$7:H$7,"## ##")</f>
        <v>0.28999999999999998</v>
      </c>
      <c r="L17" s="4">
        <f>_xlfn.XLOOKUP($B17,Materials!B$2:H$2,Materials!B$8:H$8,"## ##")</f>
        <v>700000</v>
      </c>
      <c r="M17" s="13">
        <f>(J17/I17)*K17</f>
        <v>1.5521126760563379E-2</v>
      </c>
      <c r="O17" s="17">
        <f>COS(RADIANS(C17))^2</f>
        <v>0.75000000000000011</v>
      </c>
      <c r="P17" s="17">
        <f>SIN(RADIANS(C17))^2</f>
        <v>0.24999999999999994</v>
      </c>
      <c r="Q17" s="17">
        <f>-2*COS(RADIANS(C17))*SIN(RADIANS(C17))</f>
        <v>-0.8660254037844386</v>
      </c>
      <c r="R17" s="16"/>
      <c r="S17" s="22">
        <f>I17/(1-K17*M17)</f>
        <v>28528409.989640694</v>
      </c>
      <c r="T17" s="22">
        <f>M17*I17/(1-K17*M17)</f>
        <v>442793.06772653584</v>
      </c>
      <c r="U17" s="22">
        <v>0</v>
      </c>
      <c r="V17" s="18"/>
      <c r="W17" s="17">
        <f>COS(RADIANS(C17))^2</f>
        <v>0.75000000000000011</v>
      </c>
      <c r="X17" s="17">
        <f>SIN(RADIANS(C17))^2</f>
        <v>0.24999999999999994</v>
      </c>
      <c r="Y17" s="17">
        <f>COS(RADIANS(C17))*SIN(RADIANS(C17))</f>
        <v>0.4330127018922193</v>
      </c>
      <c r="Z17" s="16"/>
      <c r="AA17" s="22" cm="1">
        <f t="array" ref="AA17:AC19">MMULT(MMULT(O17:Q19,S17:U19),W17:Y19)</f>
        <v>16833707.56002865</v>
      </c>
      <c r="AB17" s="22">
        <v>5387111.1617616303</v>
      </c>
      <c r="AC17" s="22">
        <v>8700607.7024684809</v>
      </c>
      <c r="AD17" s="23"/>
      <c r="AE17" s="22" cm="1">
        <f t="array" ref="AE17:AG19">G17*(_xlfn.ANCHORARRAY(AA17))</f>
        <v>280561.79266714415</v>
      </c>
      <c r="AF17" s="22">
        <v>89785.186029360499</v>
      </c>
      <c r="AG17" s="22">
        <v>145010.12837447468</v>
      </c>
    </row>
    <row r="18" spans="1:33" x14ac:dyDescent="0.3">
      <c r="A18" s="93"/>
      <c r="B18" s="87"/>
      <c r="C18" s="88"/>
      <c r="D18" s="88"/>
      <c r="E18" s="88"/>
      <c r="F18" s="88"/>
      <c r="G18" s="88"/>
      <c r="O18" s="17">
        <f>SIN(RADIANS(C17))^2</f>
        <v>0.24999999999999994</v>
      </c>
      <c r="P18" s="17">
        <f>COS(RADIANS(C17))^2</f>
        <v>0.75000000000000011</v>
      </c>
      <c r="Q18" s="17">
        <f>2*COS(RADIANS(C17))*SIN(RADIANS(C17))</f>
        <v>0.8660254037844386</v>
      </c>
      <c r="R18" s="16" t="s">
        <v>31</v>
      </c>
      <c r="S18" s="22">
        <f>K17*J17/(1-K17*M17)</f>
        <v>442793.06772653578</v>
      </c>
      <c r="T18" s="22">
        <f>J17/(1-K17*M17)</f>
        <v>1526872.6473328823</v>
      </c>
      <c r="U18" s="22">
        <v>0</v>
      </c>
      <c r="V18" s="18" t="s">
        <v>31</v>
      </c>
      <c r="W18" s="17">
        <f>X17</f>
        <v>0.24999999999999994</v>
      </c>
      <c r="X18" s="17">
        <f>W17</f>
        <v>0.75000000000000011</v>
      </c>
      <c r="Y18" s="17">
        <f>-COS(RADIANS(C17))*SIN(RADIANS(C17))</f>
        <v>-0.4330127018922193</v>
      </c>
      <c r="Z18" s="16" t="str">
        <f>"="</f>
        <v>=</v>
      </c>
      <c r="AA18" s="22">
        <v>5387111.1617616303</v>
      </c>
      <c r="AB18" s="22">
        <v>3332938.8888747399</v>
      </c>
      <c r="AC18" s="22">
        <v>2991400.9373678803</v>
      </c>
      <c r="AD18" s="23" t="str">
        <f>"==&gt;"</f>
        <v>==&gt;</v>
      </c>
      <c r="AE18" s="22">
        <v>89785.186029360499</v>
      </c>
      <c r="AF18" s="22">
        <v>55548.981481245661</v>
      </c>
      <c r="AG18" s="22">
        <v>49856.682289464668</v>
      </c>
    </row>
    <row r="19" spans="1:33" x14ac:dyDescent="0.3">
      <c r="A19" s="93"/>
      <c r="B19" s="89"/>
      <c r="C19" s="90"/>
      <c r="D19" s="90"/>
      <c r="E19" s="90"/>
      <c r="F19" s="90"/>
      <c r="G19" s="90"/>
      <c r="O19" s="17">
        <f>COS(RADIANS(C17))*SIN(RADIANS(C17))</f>
        <v>0.4330127018922193</v>
      </c>
      <c r="P19" s="17">
        <f>-COS(RADIANS(C17))*SIN(RADIANS(C17))</f>
        <v>-0.4330127018922193</v>
      </c>
      <c r="Q19" s="17">
        <f>COS(RADIANS(C17))^2-SIN(RADIANS(C17))^2</f>
        <v>0.50000000000000022</v>
      </c>
      <c r="R19" s="16"/>
      <c r="S19" s="22">
        <v>0</v>
      </c>
      <c r="T19" s="22">
        <v>0</v>
      </c>
      <c r="U19" s="22">
        <f>L17</f>
        <v>700000</v>
      </c>
      <c r="V19" s="18"/>
      <c r="W19" s="17">
        <f>-2*COS(RADIANS(C17))*SIN(RADIANS(C17))</f>
        <v>-0.8660254037844386</v>
      </c>
      <c r="X19" s="17">
        <f>-W19</f>
        <v>0.8660254037844386</v>
      </c>
      <c r="Y19" s="17">
        <f>COS(RADIANS(C17))^2-SIN(RADIANS(C17))^2</f>
        <v>0.50000000000000022</v>
      </c>
      <c r="Z19" s="16"/>
      <c r="AA19" s="22">
        <v>8700607.7024684791</v>
      </c>
      <c r="AB19" s="22">
        <v>2991400.9373678807</v>
      </c>
      <c r="AC19" s="22">
        <v>5644318.0940350937</v>
      </c>
      <c r="AD19" s="23"/>
      <c r="AE19" s="22">
        <v>145010.12837447465</v>
      </c>
      <c r="AF19" s="22">
        <v>49856.682289464676</v>
      </c>
      <c r="AG19" s="22">
        <v>94071.968233918233</v>
      </c>
    </row>
    <row r="20" spans="1:33" ht="4.8" customHeight="1" x14ac:dyDescent="0.3">
      <c r="A20" s="93"/>
      <c r="B20" s="91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</row>
    <row r="21" spans="1:33" x14ac:dyDescent="0.3">
      <c r="A21" s="93">
        <v>2</v>
      </c>
      <c r="B21" s="1">
        <v>2</v>
      </c>
      <c r="C21" s="5">
        <f>-C17</f>
        <v>-30</v>
      </c>
      <c r="D21" s="3" t="str">
        <f>_xlfn.XLOOKUP($B21,Materials!$B$2:$H$2,Materials!$B$3:$H$3,"## ##")</f>
        <v>T1100S/UF3376</v>
      </c>
      <c r="E21" s="9">
        <f>_xlfn.XLOOKUP(B21,Materials!$B$2:$H$2,Materials!B$17:H$17,"## ##")</f>
        <v>0.01</v>
      </c>
      <c r="F21" s="7">
        <v>0.4</v>
      </c>
      <c r="G21" s="9">
        <f>E21/(1-F21)</f>
        <v>1.6666666666666666E-2</v>
      </c>
      <c r="I21" s="4">
        <f>_xlfn.XLOOKUP($B21,Materials!$B$2:$H$2,Materials!$B$5:$H$5,"## ##")</f>
        <v>28400000</v>
      </c>
      <c r="J21" s="4">
        <f>_xlfn.XLOOKUP($B21,Materials!B$2:H$2,Materials!B$6:H$6,"## ##")</f>
        <v>1520000</v>
      </c>
      <c r="K21" s="13">
        <f>_xlfn.XLOOKUP($B21,Materials!B$2:H$2,Materials!B$7:H$7,"## ##")</f>
        <v>0.28999999999999998</v>
      </c>
      <c r="L21" s="4">
        <f>_xlfn.XLOOKUP($B21,Materials!B$2:H$2,Materials!B$8:H$8,"## ##")</f>
        <v>700000</v>
      </c>
      <c r="M21" s="13">
        <f>(J21/I21)*K21</f>
        <v>1.5521126760563379E-2</v>
      </c>
      <c r="O21" s="17">
        <f>COS(RADIANS(C21))^2</f>
        <v>0.75000000000000011</v>
      </c>
      <c r="P21" s="17">
        <f>SIN(RADIANS(C21))^2</f>
        <v>0.24999999999999994</v>
      </c>
      <c r="Q21" s="17">
        <f>-2*COS(RADIANS(C21))*SIN(RADIANS(C21))</f>
        <v>0.8660254037844386</v>
      </c>
      <c r="R21" s="16"/>
      <c r="S21" s="22">
        <f>I21/(1-K21*M21)</f>
        <v>28528409.989640694</v>
      </c>
      <c r="T21" s="22">
        <f>M21*I21/(1-K21*M21)</f>
        <v>442793.06772653584</v>
      </c>
      <c r="U21" s="22">
        <v>0</v>
      </c>
      <c r="V21" s="18"/>
      <c r="W21" s="17">
        <f>COS(RADIANS(C21))^2</f>
        <v>0.75000000000000011</v>
      </c>
      <c r="X21" s="17">
        <f>SIN(RADIANS(C21))^2</f>
        <v>0.24999999999999994</v>
      </c>
      <c r="Y21" s="17">
        <f>COS(RADIANS(C21))*SIN(RADIANS(C21))</f>
        <v>-0.4330127018922193</v>
      </c>
      <c r="Z21" s="16"/>
      <c r="AA21" s="22" cm="1">
        <f t="array" ref="AA21:AC23">MMULT(MMULT(O21:Q23,S21:U23),W21:Y23)</f>
        <v>16833707.56002865</v>
      </c>
      <c r="AB21" s="22">
        <v>5387111.1617616303</v>
      </c>
      <c r="AC21" s="22">
        <v>-8700607.7024684809</v>
      </c>
      <c r="AD21" s="23"/>
      <c r="AE21" s="22" cm="1">
        <f t="array" ref="AE21:AG23">G21*(_xlfn.ANCHORARRAY(AA21))</f>
        <v>280561.79266714415</v>
      </c>
      <c r="AF21" s="22">
        <v>89785.186029360499</v>
      </c>
      <c r="AG21" s="22">
        <v>-145010.12837447468</v>
      </c>
    </row>
    <row r="22" spans="1:33" x14ac:dyDescent="0.3">
      <c r="A22" s="93"/>
      <c r="B22" s="87"/>
      <c r="C22" s="88"/>
      <c r="D22" s="88"/>
      <c r="E22" s="88"/>
      <c r="F22" s="88"/>
      <c r="G22" s="88"/>
      <c r="O22" s="17">
        <f>SIN(RADIANS(C21))^2</f>
        <v>0.24999999999999994</v>
      </c>
      <c r="P22" s="17">
        <f>COS(RADIANS(C21))^2</f>
        <v>0.75000000000000011</v>
      </c>
      <c r="Q22" s="17">
        <f>2*COS(RADIANS(C21))*SIN(RADIANS(C21))</f>
        <v>-0.8660254037844386</v>
      </c>
      <c r="R22" s="16" t="s">
        <v>31</v>
      </c>
      <c r="S22" s="22">
        <f>K21*J21/(1-K21*M21)</f>
        <v>442793.06772653578</v>
      </c>
      <c r="T22" s="22">
        <f>J21/(1-K21*M21)</f>
        <v>1526872.6473328823</v>
      </c>
      <c r="U22" s="22">
        <v>0</v>
      </c>
      <c r="V22" s="18" t="s">
        <v>31</v>
      </c>
      <c r="W22" s="17">
        <f>X21</f>
        <v>0.24999999999999994</v>
      </c>
      <c r="X22" s="17">
        <f>W21</f>
        <v>0.75000000000000011</v>
      </c>
      <c r="Y22" s="17">
        <f>-COS(RADIANS(C21))*SIN(RADIANS(C21))</f>
        <v>0.4330127018922193</v>
      </c>
      <c r="Z22" s="16" t="str">
        <f>"="</f>
        <v>=</v>
      </c>
      <c r="AA22" s="22">
        <v>5387111.1617616303</v>
      </c>
      <c r="AB22" s="22">
        <v>3332938.8888747399</v>
      </c>
      <c r="AC22" s="22">
        <v>-2991400.9373678803</v>
      </c>
      <c r="AD22" s="23" t="str">
        <f>"==&gt;"</f>
        <v>==&gt;</v>
      </c>
      <c r="AE22" s="22">
        <v>89785.186029360499</v>
      </c>
      <c r="AF22" s="22">
        <v>55548.981481245661</v>
      </c>
      <c r="AG22" s="22">
        <v>-49856.682289464668</v>
      </c>
    </row>
    <row r="23" spans="1:33" x14ac:dyDescent="0.3">
      <c r="A23" s="93"/>
      <c r="B23" s="89"/>
      <c r="C23" s="90"/>
      <c r="D23" s="90"/>
      <c r="E23" s="90"/>
      <c r="F23" s="90"/>
      <c r="G23" s="90"/>
      <c r="O23" s="17">
        <f>COS(RADIANS(C21))*SIN(RADIANS(C21))</f>
        <v>-0.4330127018922193</v>
      </c>
      <c r="P23" s="17">
        <f>-COS(RADIANS(C21))*SIN(RADIANS(C21))</f>
        <v>0.4330127018922193</v>
      </c>
      <c r="Q23" s="17">
        <f>COS(RADIANS(C21))^2-SIN(RADIANS(C21))^2</f>
        <v>0.50000000000000022</v>
      </c>
      <c r="R23" s="16"/>
      <c r="S23" s="22">
        <v>0</v>
      </c>
      <c r="T23" s="22">
        <v>0</v>
      </c>
      <c r="U23" s="22">
        <f>L21</f>
        <v>700000</v>
      </c>
      <c r="V23" s="18"/>
      <c r="W23" s="17">
        <f>-2*COS(RADIANS(C21))*SIN(RADIANS(C21))</f>
        <v>0.8660254037844386</v>
      </c>
      <c r="X23" s="17">
        <f>-W23</f>
        <v>-0.8660254037844386</v>
      </c>
      <c r="Y23" s="17">
        <f>COS(RADIANS(C21))^2-SIN(RADIANS(C21))^2</f>
        <v>0.50000000000000022</v>
      </c>
      <c r="Z23" s="16"/>
      <c r="AA23" s="22">
        <v>-8700607.7024684791</v>
      </c>
      <c r="AB23" s="22">
        <v>-2991400.9373678807</v>
      </c>
      <c r="AC23" s="22">
        <v>5644318.0940350937</v>
      </c>
      <c r="AD23" s="23"/>
      <c r="AE23" s="22">
        <v>-145010.12837447465</v>
      </c>
      <c r="AF23" s="22">
        <v>-49856.682289464676</v>
      </c>
      <c r="AG23" s="22">
        <v>94071.968233918233</v>
      </c>
    </row>
    <row r="24" spans="1:33" ht="3" customHeight="1" x14ac:dyDescent="0.3">
      <c r="A24" s="93"/>
    </row>
    <row r="25" spans="1:33" x14ac:dyDescent="0.3">
      <c r="A25" s="93">
        <v>3</v>
      </c>
      <c r="B25" s="1">
        <v>2</v>
      </c>
      <c r="C25" s="5">
        <v>30</v>
      </c>
      <c r="D25" s="3" t="str">
        <f>_xlfn.XLOOKUP($B25,Materials!$B$2:$H$2,Materials!$B$3:$H$3,"## ##")</f>
        <v>T1100S/UF3376</v>
      </c>
      <c r="E25" s="9">
        <f>_xlfn.XLOOKUP(B25,Materials!$B$2:$H$2,Materials!B$17:H$17,"## ##")</f>
        <v>0.01</v>
      </c>
      <c r="F25" s="7">
        <v>0.4</v>
      </c>
      <c r="G25" s="9">
        <f>E25/(1-F25)</f>
        <v>1.6666666666666666E-2</v>
      </c>
      <c r="I25" s="4">
        <f>_xlfn.XLOOKUP($B25,Materials!$B$2:$H$2,Materials!$B$5:$H$5,"## ##")</f>
        <v>28400000</v>
      </c>
      <c r="J25" s="4">
        <f>_xlfn.XLOOKUP($B25,Materials!B$2:H$2,Materials!B$6:H$6,"## ##")</f>
        <v>1520000</v>
      </c>
      <c r="K25" s="13">
        <f>_xlfn.XLOOKUP($B25,Materials!B$2:H$2,Materials!B$7:H$7,"## ##")</f>
        <v>0.28999999999999998</v>
      </c>
      <c r="L25" s="4">
        <f>_xlfn.XLOOKUP($B25,Materials!B$2:H$2,Materials!B$8:H$8,"## ##")</f>
        <v>700000</v>
      </c>
      <c r="M25" s="13">
        <f>(J25/I25)*K25</f>
        <v>1.5521126760563379E-2</v>
      </c>
      <c r="O25" s="17">
        <f>COS(RADIANS(C25))^2</f>
        <v>0.75000000000000011</v>
      </c>
      <c r="P25" s="17">
        <f>SIN(RADIANS(C25))^2</f>
        <v>0.24999999999999994</v>
      </c>
      <c r="Q25" s="17">
        <f>-2*COS(RADIANS(C25))*SIN(RADIANS(C25))</f>
        <v>-0.8660254037844386</v>
      </c>
      <c r="R25" s="16"/>
      <c r="S25" s="22">
        <f>I25/(1-K25*M25)</f>
        <v>28528409.989640694</v>
      </c>
      <c r="T25" s="22">
        <f>M25*I25/(1-K25*M25)</f>
        <v>442793.06772653584</v>
      </c>
      <c r="U25" s="22">
        <v>0</v>
      </c>
      <c r="V25" s="18"/>
      <c r="W25" s="17">
        <f>COS(RADIANS(C25))^2</f>
        <v>0.75000000000000011</v>
      </c>
      <c r="X25" s="17">
        <f>SIN(RADIANS(C25))^2</f>
        <v>0.24999999999999994</v>
      </c>
      <c r="Y25" s="17">
        <f>COS(RADIANS(C25))*SIN(RADIANS(C25))</f>
        <v>0.4330127018922193</v>
      </c>
      <c r="Z25" s="16"/>
      <c r="AA25" s="22" cm="1">
        <f t="array" ref="AA25:AC27">MMULT(MMULT(O25:Q27,S25:U27),W25:Y27)</f>
        <v>16833707.56002865</v>
      </c>
      <c r="AB25" s="22">
        <v>5387111.1617616303</v>
      </c>
      <c r="AC25" s="22">
        <v>8700607.7024684809</v>
      </c>
      <c r="AD25" s="23"/>
      <c r="AE25" s="22" cm="1">
        <f t="array" ref="AE25:AG27">G25*(_xlfn.ANCHORARRAY(AA25))</f>
        <v>280561.79266714415</v>
      </c>
      <c r="AF25" s="22">
        <v>89785.186029360499</v>
      </c>
      <c r="AG25" s="22">
        <v>145010.12837447468</v>
      </c>
    </row>
    <row r="26" spans="1:33" x14ac:dyDescent="0.3">
      <c r="A26" s="93"/>
      <c r="B26" s="87"/>
      <c r="C26" s="88"/>
      <c r="D26" s="88"/>
      <c r="E26" s="88"/>
      <c r="F26" s="88"/>
      <c r="G26" s="88"/>
      <c r="O26" s="17">
        <f>SIN(RADIANS(C25))^2</f>
        <v>0.24999999999999994</v>
      </c>
      <c r="P26" s="17">
        <f>COS(RADIANS(C25))^2</f>
        <v>0.75000000000000011</v>
      </c>
      <c r="Q26" s="17">
        <f>2*COS(RADIANS(C25))*SIN(RADIANS(C25))</f>
        <v>0.8660254037844386</v>
      </c>
      <c r="R26" s="16" t="s">
        <v>31</v>
      </c>
      <c r="S26" s="22">
        <f>K25*J25/(1-K25*M25)</f>
        <v>442793.06772653578</v>
      </c>
      <c r="T26" s="22">
        <f>J25/(1-K25*M25)</f>
        <v>1526872.6473328823</v>
      </c>
      <c r="U26" s="22">
        <v>0</v>
      </c>
      <c r="V26" s="18" t="s">
        <v>31</v>
      </c>
      <c r="W26" s="17">
        <f>X25</f>
        <v>0.24999999999999994</v>
      </c>
      <c r="X26" s="17">
        <f>W25</f>
        <v>0.75000000000000011</v>
      </c>
      <c r="Y26" s="17">
        <f>-COS(RADIANS(C25))*SIN(RADIANS(C25))</f>
        <v>-0.4330127018922193</v>
      </c>
      <c r="Z26" s="16" t="str">
        <f>"="</f>
        <v>=</v>
      </c>
      <c r="AA26" s="22">
        <v>5387111.1617616303</v>
      </c>
      <c r="AB26" s="22">
        <v>3332938.8888747399</v>
      </c>
      <c r="AC26" s="22">
        <v>2991400.9373678803</v>
      </c>
      <c r="AD26" s="23" t="str">
        <f>"==&gt;"</f>
        <v>==&gt;</v>
      </c>
      <c r="AE26" s="22">
        <v>89785.186029360499</v>
      </c>
      <c r="AF26" s="22">
        <v>55548.981481245661</v>
      </c>
      <c r="AG26" s="22">
        <v>49856.682289464668</v>
      </c>
    </row>
    <row r="27" spans="1:33" s="20" customFormat="1" ht="13.8" customHeight="1" x14ac:dyDescent="0.3">
      <c r="A27" s="93"/>
      <c r="B27" s="89"/>
      <c r="C27" s="90"/>
      <c r="D27" s="90"/>
      <c r="E27" s="90"/>
      <c r="F27" s="90"/>
      <c r="G27" s="90"/>
      <c r="H27"/>
      <c r="I27"/>
      <c r="J27"/>
      <c r="K27"/>
      <c r="L27"/>
      <c r="M27"/>
      <c r="N27"/>
      <c r="O27" s="17">
        <f>COS(RADIANS(C25))*SIN(RADIANS(C25))</f>
        <v>0.4330127018922193</v>
      </c>
      <c r="P27" s="17">
        <f>-COS(RADIANS(C25))*SIN(RADIANS(C25))</f>
        <v>-0.4330127018922193</v>
      </c>
      <c r="Q27" s="17">
        <f>COS(RADIANS(C25))^2-SIN(RADIANS(C25))^2</f>
        <v>0.50000000000000022</v>
      </c>
      <c r="R27" s="16"/>
      <c r="S27" s="22">
        <v>0</v>
      </c>
      <c r="T27" s="22">
        <v>0</v>
      </c>
      <c r="U27" s="22">
        <f>L25</f>
        <v>700000</v>
      </c>
      <c r="V27" s="18"/>
      <c r="W27" s="17">
        <f>-2*COS(RADIANS(C25))*SIN(RADIANS(C25))</f>
        <v>-0.8660254037844386</v>
      </c>
      <c r="X27" s="17">
        <f>-W27</f>
        <v>0.8660254037844386</v>
      </c>
      <c r="Y27" s="17">
        <f>COS(RADIANS(C25))^2-SIN(RADIANS(C25))^2</f>
        <v>0.50000000000000022</v>
      </c>
      <c r="Z27" s="16"/>
      <c r="AA27" s="22">
        <v>8700607.7024684791</v>
      </c>
      <c r="AB27" s="22">
        <v>2991400.9373678807</v>
      </c>
      <c r="AC27" s="22">
        <v>5644318.0940350937</v>
      </c>
      <c r="AD27" s="23"/>
      <c r="AE27" s="22">
        <v>145010.12837447465</v>
      </c>
      <c r="AF27" s="22">
        <v>49856.682289464676</v>
      </c>
      <c r="AG27" s="22">
        <v>94071.968233918233</v>
      </c>
    </row>
    <row r="28" spans="1:33" s="6" customFormat="1" ht="2.4" customHeight="1" x14ac:dyDescent="0.3">
      <c r="A28" s="93"/>
      <c r="B28" s="91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</row>
    <row r="29" spans="1:33" x14ac:dyDescent="0.3">
      <c r="A29" s="93">
        <v>4</v>
      </c>
      <c r="B29" s="1">
        <v>2</v>
      </c>
      <c r="C29" s="5">
        <f>-C25</f>
        <v>-30</v>
      </c>
      <c r="D29" s="3" t="str">
        <f>_xlfn.XLOOKUP($B29,Materials!$B$2:$H$2,Materials!$B$3:$H$3,"## ##")</f>
        <v>T1100S/UF3376</v>
      </c>
      <c r="E29" s="9">
        <f>_xlfn.XLOOKUP(B29,Materials!$B$2:$H$2,Materials!B$17:H$17,"## ##")</f>
        <v>0.01</v>
      </c>
      <c r="F29" s="7">
        <f>F25</f>
        <v>0.4</v>
      </c>
      <c r="G29" s="9">
        <f>E29/(1-F29)</f>
        <v>1.6666666666666666E-2</v>
      </c>
      <c r="I29" s="4">
        <f>_xlfn.XLOOKUP($B29,Materials!$B$2:$H$2,Materials!$B$5:$H$5,"## ##")</f>
        <v>28400000</v>
      </c>
      <c r="J29" s="4">
        <f>_xlfn.XLOOKUP($B29,Materials!B$2:H$2,Materials!B$6:H$6,"## ##")</f>
        <v>1520000</v>
      </c>
      <c r="K29" s="13">
        <f>_xlfn.XLOOKUP($B29,Materials!B$2:H$2,Materials!B$7:H$7,"## ##")</f>
        <v>0.28999999999999998</v>
      </c>
      <c r="L29" s="4">
        <f>_xlfn.XLOOKUP($B29,Materials!B$2:H$2,Materials!B$8:H$8,"## ##")</f>
        <v>700000</v>
      </c>
      <c r="M29" s="13">
        <f>(J29/I29)*K29</f>
        <v>1.5521126760563379E-2</v>
      </c>
      <c r="O29" s="17">
        <f>COS(RADIANS(C29))^2</f>
        <v>0.75000000000000011</v>
      </c>
      <c r="P29" s="17">
        <f>SIN(RADIANS(C29))^2</f>
        <v>0.24999999999999994</v>
      </c>
      <c r="Q29" s="17">
        <f>-2*COS(RADIANS(C29))*SIN(RADIANS(C29))</f>
        <v>0.8660254037844386</v>
      </c>
      <c r="R29" s="16"/>
      <c r="S29" s="22">
        <f>I29/(1-K29*M29)</f>
        <v>28528409.989640694</v>
      </c>
      <c r="T29" s="22">
        <f>M29*I29/(1-K29*M29)</f>
        <v>442793.06772653584</v>
      </c>
      <c r="U29" s="22">
        <v>0</v>
      </c>
      <c r="V29" s="18"/>
      <c r="W29" s="17">
        <f>COS(RADIANS(C29))^2</f>
        <v>0.75000000000000011</v>
      </c>
      <c r="X29" s="17">
        <f>SIN(RADIANS(C29))^2</f>
        <v>0.24999999999999994</v>
      </c>
      <c r="Y29" s="17">
        <f>COS(RADIANS(C29))*SIN(RADIANS(C29))</f>
        <v>-0.4330127018922193</v>
      </c>
      <c r="Z29" s="16"/>
      <c r="AA29" s="22" cm="1">
        <f t="array" ref="AA29:AC31">MMULT(MMULT(O29:Q31,S29:U31),W29:Y31)</f>
        <v>16833707.56002865</v>
      </c>
      <c r="AB29" s="22">
        <v>5387111.1617616303</v>
      </c>
      <c r="AC29" s="22">
        <v>-8700607.7024684809</v>
      </c>
      <c r="AD29" s="23"/>
      <c r="AE29" s="22" cm="1">
        <f t="array" ref="AE29:AG31">G29*(_xlfn.ANCHORARRAY(AA29))</f>
        <v>280561.79266714415</v>
      </c>
      <c r="AF29" s="22">
        <v>89785.186029360499</v>
      </c>
      <c r="AG29" s="22">
        <v>-145010.12837447468</v>
      </c>
    </row>
    <row r="30" spans="1:33" x14ac:dyDescent="0.3">
      <c r="A30" s="93"/>
      <c r="B30" s="87"/>
      <c r="C30" s="88"/>
      <c r="D30" s="88"/>
      <c r="E30" s="88"/>
      <c r="F30" s="88"/>
      <c r="G30" s="88"/>
      <c r="O30" s="17">
        <f>SIN(RADIANS(C29))^2</f>
        <v>0.24999999999999994</v>
      </c>
      <c r="P30" s="17">
        <f>COS(RADIANS(C29))^2</f>
        <v>0.75000000000000011</v>
      </c>
      <c r="Q30" s="17">
        <f>2*COS(RADIANS(C29))*SIN(RADIANS(C29))</f>
        <v>-0.8660254037844386</v>
      </c>
      <c r="R30" s="16" t="s">
        <v>31</v>
      </c>
      <c r="S30" s="22">
        <f>K29*J29/(1-K29*M29)</f>
        <v>442793.06772653578</v>
      </c>
      <c r="T30" s="22">
        <f>J29/(1-K29*M29)</f>
        <v>1526872.6473328823</v>
      </c>
      <c r="U30" s="22">
        <v>0</v>
      </c>
      <c r="V30" s="18" t="s">
        <v>31</v>
      </c>
      <c r="W30" s="17">
        <f>X29</f>
        <v>0.24999999999999994</v>
      </c>
      <c r="X30" s="17">
        <f>W29</f>
        <v>0.75000000000000011</v>
      </c>
      <c r="Y30" s="17">
        <f>-COS(RADIANS(C29))*SIN(RADIANS(C29))</f>
        <v>0.4330127018922193</v>
      </c>
      <c r="Z30" s="16" t="str">
        <f>"="</f>
        <v>=</v>
      </c>
      <c r="AA30" s="22">
        <v>5387111.1617616303</v>
      </c>
      <c r="AB30" s="22">
        <v>3332938.8888747399</v>
      </c>
      <c r="AC30" s="22">
        <v>-2991400.9373678803</v>
      </c>
      <c r="AD30" s="23" t="str">
        <f>"==&gt;"</f>
        <v>==&gt;</v>
      </c>
      <c r="AE30" s="22">
        <v>89785.186029360499</v>
      </c>
      <c r="AF30" s="22">
        <v>55548.981481245661</v>
      </c>
      <c r="AG30" s="22">
        <v>-49856.682289464668</v>
      </c>
    </row>
    <row r="31" spans="1:33" x14ac:dyDescent="0.3">
      <c r="A31" s="93"/>
      <c r="B31" s="89"/>
      <c r="C31" s="90"/>
      <c r="D31" s="90"/>
      <c r="E31" s="90"/>
      <c r="F31" s="90"/>
      <c r="G31" s="90"/>
      <c r="O31" s="17">
        <f>COS(RADIANS(C29))*SIN(RADIANS(C29))</f>
        <v>-0.4330127018922193</v>
      </c>
      <c r="P31" s="17">
        <f>-COS(RADIANS(C29))*SIN(RADIANS(C29))</f>
        <v>0.4330127018922193</v>
      </c>
      <c r="Q31" s="17">
        <f>COS(RADIANS(C29))^2-SIN(RADIANS(C29))^2</f>
        <v>0.50000000000000022</v>
      </c>
      <c r="R31" s="16"/>
      <c r="S31" s="22">
        <v>0</v>
      </c>
      <c r="T31" s="22">
        <v>0</v>
      </c>
      <c r="U31" s="22">
        <f>L29</f>
        <v>700000</v>
      </c>
      <c r="V31" s="18"/>
      <c r="W31" s="17">
        <f>-2*COS(RADIANS(C29))*SIN(RADIANS(C29))</f>
        <v>0.8660254037844386</v>
      </c>
      <c r="X31" s="17">
        <f>-W31</f>
        <v>-0.8660254037844386</v>
      </c>
      <c r="Y31" s="17">
        <f>COS(RADIANS(C29))^2-SIN(RADIANS(C29))^2</f>
        <v>0.50000000000000022</v>
      </c>
      <c r="Z31" s="16"/>
      <c r="AA31" s="22">
        <v>-8700607.7024684791</v>
      </c>
      <c r="AB31" s="22">
        <v>-2991400.9373678807</v>
      </c>
      <c r="AC31" s="22">
        <v>5644318.0940350937</v>
      </c>
      <c r="AD31" s="23"/>
      <c r="AE31" s="22">
        <v>-145010.12837447465</v>
      </c>
      <c r="AF31" s="22">
        <v>-49856.682289464676</v>
      </c>
      <c r="AG31" s="22">
        <v>94071.968233918233</v>
      </c>
    </row>
    <row r="32" spans="1:33" ht="5.4" customHeight="1" x14ac:dyDescent="0.3">
      <c r="A32" s="93"/>
    </row>
    <row r="33" spans="1:33" x14ac:dyDescent="0.3">
      <c r="A33" s="93">
        <v>5</v>
      </c>
      <c r="B33" s="1">
        <v>2</v>
      </c>
      <c r="C33" s="5">
        <v>48.049769718101722</v>
      </c>
      <c r="D33" s="3" t="str">
        <f>_xlfn.XLOOKUP($B33,Materials!$B$2:$H$2,Materials!$B$3:$H$3,"## ##")</f>
        <v>T1100S/UF3376</v>
      </c>
      <c r="E33" s="9">
        <f>_xlfn.XLOOKUP(B33,Materials!$B$2:$H$2,Materials!B$17:H$17,"## ##")</f>
        <v>0.01</v>
      </c>
      <c r="F33" s="7">
        <v>0.4</v>
      </c>
      <c r="G33" s="9">
        <f>E33/(1-F33)</f>
        <v>1.6666666666666666E-2</v>
      </c>
      <c r="I33" s="4">
        <f>_xlfn.XLOOKUP($B33,Materials!$B$2:$H$2,Materials!$B$5:$H$5,"## ##")</f>
        <v>28400000</v>
      </c>
      <c r="J33" s="4">
        <f>_xlfn.XLOOKUP($B33,Materials!B$2:H$2,Materials!B$6:H$6,"## ##")</f>
        <v>1520000</v>
      </c>
      <c r="K33" s="13">
        <f>_xlfn.XLOOKUP($B33,Materials!B$2:H$2,Materials!B$7:H$7,"## ##")</f>
        <v>0.28999999999999998</v>
      </c>
      <c r="L33" s="4">
        <f>_xlfn.XLOOKUP($B33,Materials!B$2:H$2,Materials!B$8:H$8,"## ##")</f>
        <v>700000</v>
      </c>
      <c r="M33" s="13">
        <f>(J33/I33)*K33</f>
        <v>1.5521126760563379E-2</v>
      </c>
      <c r="O33" s="17">
        <f>COS(RADIANS(C33))^2</f>
        <v>0.44687196075412605</v>
      </c>
      <c r="P33" s="17">
        <f>SIN(RADIANS(C33))^2</f>
        <v>0.55312803924587384</v>
      </c>
      <c r="Q33" s="17">
        <f>-2*COS(RADIANS(C33))*SIN(RADIANS(C33))</f>
        <v>-0.99433879828937344</v>
      </c>
      <c r="R33" s="16"/>
      <c r="S33" s="22">
        <f>I33/(1-K33*M33)</f>
        <v>28528409.989640694</v>
      </c>
      <c r="T33" s="22">
        <f>M33*I33/(1-K33*M33)</f>
        <v>442793.06772653584</v>
      </c>
      <c r="U33" s="22">
        <v>0</v>
      </c>
      <c r="V33" s="18"/>
      <c r="W33" s="17">
        <f>COS(RADIANS(C33))^2</f>
        <v>0.44687196075412605</v>
      </c>
      <c r="X33" s="17">
        <f>SIN(RADIANS(C33))^2</f>
        <v>0.55312803924587384</v>
      </c>
      <c r="Y33" s="17">
        <f>COS(RADIANS(C33))*SIN(RADIANS(C33))</f>
        <v>0.49716939914468672</v>
      </c>
      <c r="Z33" s="16"/>
      <c r="AA33" s="22" cm="1">
        <f t="array" ref="AA33:AC35">MMULT(MMULT(O33:Q35,S33:U35),W33:Y35)</f>
        <v>7075109.2610061783</v>
      </c>
      <c r="AB33" s="22">
        <v>6960786.3895860855</v>
      </c>
      <c r="AC33" s="22">
        <v>6015649.500558042</v>
      </c>
      <c r="AD33" s="23"/>
      <c r="AE33" s="22" cm="1">
        <f t="array" ref="AE33:AG35">G33*(_xlfn.ANCHORARRAY(AA33))</f>
        <v>117918.48768343631</v>
      </c>
      <c r="AF33" s="22">
        <v>116013.10649310143</v>
      </c>
      <c r="AG33" s="22">
        <v>100260.82500930069</v>
      </c>
    </row>
    <row r="34" spans="1:33" x14ac:dyDescent="0.3">
      <c r="A34" s="93"/>
      <c r="B34" s="6"/>
      <c r="C34" s="6"/>
      <c r="D34" s="6"/>
      <c r="E34" s="6"/>
      <c r="F34" s="6"/>
      <c r="G34" s="6"/>
      <c r="O34" s="17">
        <f>SIN(RADIANS(C33))^2</f>
        <v>0.55312803924587384</v>
      </c>
      <c r="P34" s="17">
        <f>COS(RADIANS(C33))^2</f>
        <v>0.44687196075412605</v>
      </c>
      <c r="Q34" s="17">
        <f>2*COS(RADIANS(C33))*SIN(RADIANS(C33))</f>
        <v>0.99433879828937344</v>
      </c>
      <c r="R34" s="16" t="s">
        <v>31</v>
      </c>
      <c r="S34" s="22">
        <f>K33*J33/(1-K33*M33)</f>
        <v>442793.06772653578</v>
      </c>
      <c r="T34" s="22">
        <f>J33/(1-K33*M33)</f>
        <v>1526872.6473328823</v>
      </c>
      <c r="U34" s="22">
        <v>0</v>
      </c>
      <c r="V34" s="18" t="s">
        <v>31</v>
      </c>
      <c r="W34" s="17">
        <f>X33</f>
        <v>0.55312803924587384</v>
      </c>
      <c r="X34" s="17">
        <f>W33</f>
        <v>0.44687196075412605</v>
      </c>
      <c r="Y34" s="17">
        <f>-COS(RADIANS(C33))*SIN(RADIANS(C33))</f>
        <v>-0.49716939914468672</v>
      </c>
      <c r="Z34" s="16" t="str">
        <f>"="</f>
        <v>=</v>
      </c>
      <c r="AA34" s="22">
        <v>6960786.3895860845</v>
      </c>
      <c r="AB34" s="22">
        <v>9944186.7322482932</v>
      </c>
      <c r="AC34" s="22">
        <v>7408688.5958999526</v>
      </c>
      <c r="AD34" s="23" t="str">
        <f>"==&gt;"</f>
        <v>==&gt;</v>
      </c>
      <c r="AE34" s="22">
        <v>116013.10649310141</v>
      </c>
      <c r="AF34" s="22">
        <v>165736.44553747156</v>
      </c>
      <c r="AG34" s="22">
        <v>123478.14326499921</v>
      </c>
    </row>
    <row r="35" spans="1:33" x14ac:dyDescent="0.3">
      <c r="A35" s="93"/>
      <c r="B35" s="6"/>
      <c r="C35" s="6"/>
      <c r="D35" s="6"/>
      <c r="E35" s="6"/>
      <c r="F35" s="6"/>
      <c r="G35" s="6"/>
      <c r="O35" s="17">
        <f>COS(RADIANS(C33))*SIN(RADIANS(C33))</f>
        <v>0.49716939914468672</v>
      </c>
      <c r="P35" s="17">
        <f>-COS(RADIANS(C33))*SIN(RADIANS(C33))</f>
        <v>-0.49716939914468672</v>
      </c>
      <c r="Q35" s="17">
        <f>COS(RADIANS(C33))^2-SIN(RADIANS(C33))^2</f>
        <v>-0.10625607849174779</v>
      </c>
      <c r="R35" s="16"/>
      <c r="S35" s="22">
        <v>0</v>
      </c>
      <c r="T35" s="22">
        <v>0</v>
      </c>
      <c r="U35" s="22">
        <f>L33</f>
        <v>700000</v>
      </c>
      <c r="V35" s="18"/>
      <c r="W35" s="17">
        <f>-2*COS(RADIANS(C33))*SIN(RADIANS(C33))</f>
        <v>-0.99433879828937344</v>
      </c>
      <c r="X35" s="17">
        <f>-W35</f>
        <v>0.99433879828937344</v>
      </c>
      <c r="Y35" s="17">
        <f>COS(RADIANS(C33))^2-SIN(RADIANS(C33))^2</f>
        <v>-0.10625607849174779</v>
      </c>
      <c r="Z35" s="16"/>
      <c r="AA35" s="22">
        <v>6015649.500558041</v>
      </c>
      <c r="AB35" s="22">
        <v>7408688.5958999535</v>
      </c>
      <c r="AC35" s="22">
        <v>7217993.3218595488</v>
      </c>
      <c r="AD35" s="23"/>
      <c r="AE35" s="22">
        <v>100260.82500930068</v>
      </c>
      <c r="AF35" s="22">
        <v>123478.14326499922</v>
      </c>
      <c r="AG35" s="22">
        <v>120299.88869765915</v>
      </c>
    </row>
    <row r="36" spans="1:33" ht="5.4" customHeight="1" x14ac:dyDescent="0.3">
      <c r="A36" s="93"/>
      <c r="B36" s="91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</row>
    <row r="37" spans="1:33" x14ac:dyDescent="0.3">
      <c r="A37" s="93">
        <v>6</v>
      </c>
      <c r="B37" s="1">
        <v>2</v>
      </c>
      <c r="C37" s="5">
        <f>-C33</f>
        <v>-48.049769718101722</v>
      </c>
      <c r="D37" s="3" t="str">
        <f>_xlfn.XLOOKUP($B37,Materials!$B$2:$H$2,Materials!$B$3:$H$3,"## ##")</f>
        <v>T1100S/UF3376</v>
      </c>
      <c r="E37" s="9">
        <f>_xlfn.XLOOKUP(B37,Materials!$B$2:$H$2,Materials!B$17:H$17,"## ##")</f>
        <v>0.01</v>
      </c>
      <c r="F37" s="7">
        <f>F33</f>
        <v>0.4</v>
      </c>
      <c r="G37" s="9">
        <f>E37/(1-F37)</f>
        <v>1.6666666666666666E-2</v>
      </c>
      <c r="I37" s="4">
        <f>_xlfn.XLOOKUP($B37,Materials!$B$2:$H$2,Materials!$B$5:$H$5,"## ##")</f>
        <v>28400000</v>
      </c>
      <c r="J37" s="4">
        <f>_xlfn.XLOOKUP($B37,Materials!B$2:H$2,Materials!B$6:H$6,"## ##")</f>
        <v>1520000</v>
      </c>
      <c r="K37" s="13">
        <f>_xlfn.XLOOKUP($B37,Materials!B$2:H$2,Materials!B$7:H$7,"## ##")</f>
        <v>0.28999999999999998</v>
      </c>
      <c r="L37" s="4">
        <f>_xlfn.XLOOKUP($B37,Materials!B$2:H$2,Materials!B$8:H$8,"## ##")</f>
        <v>700000</v>
      </c>
      <c r="M37" s="13">
        <f>(J37/I37)*K37</f>
        <v>1.5521126760563379E-2</v>
      </c>
      <c r="O37" s="17">
        <f>COS(RADIANS(C37))^2</f>
        <v>0.44687196075412605</v>
      </c>
      <c r="P37" s="17">
        <f>SIN(RADIANS(C37))^2</f>
        <v>0.55312803924587384</v>
      </c>
      <c r="Q37" s="17">
        <f>-2*COS(RADIANS(C37))*SIN(RADIANS(C37))</f>
        <v>0.99433879828937344</v>
      </c>
      <c r="R37" s="16"/>
      <c r="S37" s="22">
        <f>I37/(1-K37*M37)</f>
        <v>28528409.989640694</v>
      </c>
      <c r="T37" s="22">
        <f>M37*I37/(1-K37*M37)</f>
        <v>442793.06772653584</v>
      </c>
      <c r="U37" s="22">
        <v>0</v>
      </c>
      <c r="V37" s="18"/>
      <c r="W37" s="17">
        <f>COS(RADIANS(C37))^2</f>
        <v>0.44687196075412605</v>
      </c>
      <c r="X37" s="17">
        <f>SIN(RADIANS(C37))^2</f>
        <v>0.55312803924587384</v>
      </c>
      <c r="Y37" s="17">
        <f>COS(RADIANS(C37))*SIN(RADIANS(C37))</f>
        <v>-0.49716939914468672</v>
      </c>
      <c r="Z37" s="16"/>
      <c r="AA37" s="22" cm="1">
        <f t="array" ref="AA37:AC39">MMULT(MMULT(O37:Q39,S37:U39),W37:Y39)</f>
        <v>7075109.2610061783</v>
      </c>
      <c r="AB37" s="22">
        <v>6960786.3895860855</v>
      </c>
      <c r="AC37" s="22">
        <v>-6015649.500558042</v>
      </c>
      <c r="AD37" s="23"/>
      <c r="AE37" s="22" cm="1">
        <f t="array" ref="AE37:AG39">G37*(_xlfn.ANCHORARRAY(AA37))</f>
        <v>117918.48768343631</v>
      </c>
      <c r="AF37" s="22">
        <v>116013.10649310143</v>
      </c>
      <c r="AG37" s="22">
        <v>-100260.82500930069</v>
      </c>
    </row>
    <row r="38" spans="1:33" x14ac:dyDescent="0.3">
      <c r="A38" s="93"/>
      <c r="B38" s="87"/>
      <c r="C38" s="88"/>
      <c r="D38" s="88"/>
      <c r="E38" s="88"/>
      <c r="F38" s="88"/>
      <c r="G38" s="88"/>
      <c r="O38" s="17">
        <f>SIN(RADIANS(C37))^2</f>
        <v>0.55312803924587384</v>
      </c>
      <c r="P38" s="17">
        <f>COS(RADIANS(C37))^2</f>
        <v>0.44687196075412605</v>
      </c>
      <c r="Q38" s="17">
        <f>2*COS(RADIANS(C37))*SIN(RADIANS(C37))</f>
        <v>-0.99433879828937344</v>
      </c>
      <c r="R38" s="16" t="s">
        <v>31</v>
      </c>
      <c r="S38" s="22">
        <f>K37*J37/(1-K37*M37)</f>
        <v>442793.06772653578</v>
      </c>
      <c r="T38" s="22">
        <f>J37/(1-K37*M37)</f>
        <v>1526872.6473328823</v>
      </c>
      <c r="U38" s="22">
        <v>0</v>
      </c>
      <c r="V38" s="18" t="s">
        <v>31</v>
      </c>
      <c r="W38" s="17">
        <f>X37</f>
        <v>0.55312803924587384</v>
      </c>
      <c r="X38" s="17">
        <f>W37</f>
        <v>0.44687196075412605</v>
      </c>
      <c r="Y38" s="17">
        <f>-COS(RADIANS(C37))*SIN(RADIANS(C37))</f>
        <v>0.49716939914468672</v>
      </c>
      <c r="Z38" s="16" t="str">
        <f>"="</f>
        <v>=</v>
      </c>
      <c r="AA38" s="22">
        <v>6960786.3895860845</v>
      </c>
      <c r="AB38" s="22">
        <v>9944186.7322482932</v>
      </c>
      <c r="AC38" s="22">
        <v>-7408688.5958999526</v>
      </c>
      <c r="AD38" s="23" t="str">
        <f>"==&gt;"</f>
        <v>==&gt;</v>
      </c>
      <c r="AE38" s="22">
        <v>116013.10649310141</v>
      </c>
      <c r="AF38" s="22">
        <v>165736.44553747156</v>
      </c>
      <c r="AG38" s="22">
        <v>-123478.14326499921</v>
      </c>
    </row>
    <row r="39" spans="1:33" x14ac:dyDescent="0.3">
      <c r="A39" s="93"/>
      <c r="B39" s="89"/>
      <c r="C39" s="90"/>
      <c r="D39" s="90"/>
      <c r="E39" s="90"/>
      <c r="F39" s="90"/>
      <c r="G39" s="90"/>
      <c r="O39" s="17">
        <f>COS(RADIANS(C37))*SIN(RADIANS(C37))</f>
        <v>-0.49716939914468672</v>
      </c>
      <c r="P39" s="17">
        <f>-COS(RADIANS(C37))*SIN(RADIANS(C37))</f>
        <v>0.49716939914468672</v>
      </c>
      <c r="Q39" s="17">
        <f>COS(RADIANS(C37))^2-SIN(RADIANS(C37))^2</f>
        <v>-0.10625607849174779</v>
      </c>
      <c r="R39" s="16"/>
      <c r="S39" s="22">
        <v>0</v>
      </c>
      <c r="T39" s="22">
        <v>0</v>
      </c>
      <c r="U39" s="22">
        <f>L37</f>
        <v>700000</v>
      </c>
      <c r="V39" s="18"/>
      <c r="W39" s="17">
        <f>-2*COS(RADIANS(C37))*SIN(RADIANS(C37))</f>
        <v>0.99433879828937344</v>
      </c>
      <c r="X39" s="17">
        <f>-W39</f>
        <v>-0.99433879828937344</v>
      </c>
      <c r="Y39" s="17">
        <f>COS(RADIANS(C37))^2-SIN(RADIANS(C37))^2</f>
        <v>-0.10625607849174779</v>
      </c>
      <c r="Z39" s="16"/>
      <c r="AA39" s="22">
        <v>-6015649.500558041</v>
      </c>
      <c r="AB39" s="22">
        <v>-7408688.5958999535</v>
      </c>
      <c r="AC39" s="22">
        <v>7217993.3218595488</v>
      </c>
      <c r="AD39" s="23"/>
      <c r="AE39" s="22">
        <v>-100260.82500930068</v>
      </c>
      <c r="AF39" s="22">
        <v>-123478.14326499922</v>
      </c>
      <c r="AG39" s="22">
        <v>120299.88869765915</v>
      </c>
    </row>
    <row r="40" spans="1:33" ht="5.4" customHeight="1" x14ac:dyDescent="0.3">
      <c r="A40" s="93"/>
    </row>
    <row r="41" spans="1:33" x14ac:dyDescent="0.3">
      <c r="A41" s="93">
        <v>7</v>
      </c>
      <c r="B41" s="1">
        <v>2</v>
      </c>
      <c r="C41" s="5">
        <v>72.085431848882507</v>
      </c>
      <c r="D41" s="3" t="str">
        <f>_xlfn.XLOOKUP($B41,Materials!$B$2:$H$2,Materials!$B$3:$H$3,"## ##")</f>
        <v>T1100S/UF3376</v>
      </c>
      <c r="E41" s="9">
        <f>_xlfn.XLOOKUP(B41,Materials!$B$2:$H$2,Materials!B$17:H$17,"## ##")</f>
        <v>0.01</v>
      </c>
      <c r="F41" s="7">
        <v>0.4</v>
      </c>
      <c r="G41" s="9">
        <f>E41/(1-F41)</f>
        <v>1.6666666666666666E-2</v>
      </c>
      <c r="I41" s="4">
        <f>_xlfn.XLOOKUP($B41,Materials!$B$2:$H$2,Materials!$B$5:$H$5,"## ##")</f>
        <v>28400000</v>
      </c>
      <c r="J41" s="4">
        <f>_xlfn.XLOOKUP($B41,Materials!B$2:H$2,Materials!B$6:H$6,"## ##")</f>
        <v>1520000</v>
      </c>
      <c r="K41" s="13">
        <f>_xlfn.XLOOKUP($B41,Materials!B$2:H$2,Materials!B$7:H$7,"## ##")</f>
        <v>0.28999999999999998</v>
      </c>
      <c r="L41" s="4">
        <f>_xlfn.XLOOKUP($B41,Materials!B$2:H$2,Materials!B$8:H$8,"## ##")</f>
        <v>700000</v>
      </c>
      <c r="M41" s="13">
        <f>(J41/I41)*K41</f>
        <v>1.5521126760563379E-2</v>
      </c>
      <c r="O41" s="17">
        <f>COS(RADIANS(C41))^2</f>
        <v>9.4616875560669417E-2</v>
      </c>
      <c r="P41" s="17">
        <f>SIN(RADIANS(C41))^2</f>
        <v>0.90538312443933044</v>
      </c>
      <c r="Q41" s="17">
        <f>-2*COS(RADIANS(C41))*SIN(RADIANS(C41))</f>
        <v>-0.58537004508193347</v>
      </c>
      <c r="R41" s="16"/>
      <c r="S41" s="22">
        <f>I41/(1-K41*M41)</f>
        <v>28528409.989640694</v>
      </c>
      <c r="T41" s="22">
        <f>M41*I41/(1-K41*M41)</f>
        <v>442793.06772653584</v>
      </c>
      <c r="U41" s="22">
        <v>0</v>
      </c>
      <c r="V41" s="18"/>
      <c r="W41" s="17">
        <f>COS(RADIANS(C41))^2</f>
        <v>9.4616875560669417E-2</v>
      </c>
      <c r="X41" s="17">
        <f>SIN(RADIANS(C41))^2</f>
        <v>0.90538312443933044</v>
      </c>
      <c r="Y41" s="17">
        <f>COS(RADIANS(C41))*SIN(RADIANS(C41))</f>
        <v>0.29268502254096673</v>
      </c>
      <c r="Z41" s="16"/>
      <c r="AA41" s="22" cm="1">
        <f t="array" ref="AA41:AC43">MMULT(MMULT(O41:Q43,S41:U43),W41:Y43)</f>
        <v>1822726.2888387998</v>
      </c>
      <c r="AB41" s="22">
        <v>2701740.5248845238</v>
      </c>
      <c r="AC41" s="22">
        <v>822719.66053196508</v>
      </c>
      <c r="AD41" s="23"/>
      <c r="AE41" s="22" cm="1">
        <f t="array" ref="AE41:AG43">G41*(_xlfn.ANCHORARRAY(AA41))</f>
        <v>30378.771480646665</v>
      </c>
      <c r="AF41" s="22">
        <v>45029.008748075394</v>
      </c>
      <c r="AG41" s="22">
        <v>13711.994342199418</v>
      </c>
    </row>
    <row r="42" spans="1:33" x14ac:dyDescent="0.3">
      <c r="A42" s="93"/>
      <c r="B42" s="87"/>
      <c r="C42" s="88"/>
      <c r="D42" s="88"/>
      <c r="E42" s="88"/>
      <c r="F42" s="88"/>
      <c r="G42" s="88"/>
      <c r="O42" s="17">
        <f>SIN(RADIANS(C41))^2</f>
        <v>0.90538312443933044</v>
      </c>
      <c r="P42" s="17">
        <f>COS(RADIANS(C41))^2</f>
        <v>9.4616875560669417E-2</v>
      </c>
      <c r="Q42" s="17">
        <f>2*COS(RADIANS(C41))*SIN(RADIANS(C41))</f>
        <v>0.58537004508193347</v>
      </c>
      <c r="R42" s="16" t="s">
        <v>31</v>
      </c>
      <c r="S42" s="22">
        <f>K41*J41/(1-K41*M41)</f>
        <v>442793.06772653578</v>
      </c>
      <c r="T42" s="22">
        <f>J41/(1-K41*M41)</f>
        <v>1526872.6473328823</v>
      </c>
      <c r="U42" s="22">
        <v>0</v>
      </c>
      <c r="V42" s="18" t="s">
        <v>31</v>
      </c>
      <c r="W42" s="17">
        <f>X41</f>
        <v>0.90538312443933044</v>
      </c>
      <c r="X42" s="17">
        <f>W41</f>
        <v>9.4616875560669417E-2</v>
      </c>
      <c r="Y42" s="17">
        <f>-COS(RADIANS(C41))*SIN(RADIANS(C41))</f>
        <v>-0.29268502254096673</v>
      </c>
      <c r="Z42" s="16" t="str">
        <f>"="</f>
        <v>=</v>
      </c>
      <c r="AA42" s="22">
        <v>2701740.5248845238</v>
      </c>
      <c r="AB42" s="22">
        <v>23714661.433818791</v>
      </c>
      <c r="AC42" s="22">
        <v>7080225.9051421499</v>
      </c>
      <c r="AD42" s="23" t="str">
        <f>"==&gt;"</f>
        <v>==&gt;</v>
      </c>
      <c r="AE42" s="22">
        <v>45029.008748075394</v>
      </c>
      <c r="AF42" s="22">
        <v>395244.35723031318</v>
      </c>
      <c r="AG42" s="22">
        <v>118003.7650857025</v>
      </c>
    </row>
    <row r="43" spans="1:33" x14ac:dyDescent="0.3">
      <c r="A43" s="93"/>
      <c r="B43" s="89"/>
      <c r="C43" s="90"/>
      <c r="D43" s="90"/>
      <c r="E43" s="90"/>
      <c r="F43" s="90"/>
      <c r="G43" s="90"/>
      <c r="O43" s="17">
        <f>COS(RADIANS(C41))*SIN(RADIANS(C41))</f>
        <v>0.29268502254096673</v>
      </c>
      <c r="P43" s="17">
        <f>-COS(RADIANS(C41))*SIN(RADIANS(C41))</f>
        <v>-0.29268502254096673</v>
      </c>
      <c r="Q43" s="17">
        <f>COS(RADIANS(C41))^2-SIN(RADIANS(C41))^2</f>
        <v>-0.810766248878661</v>
      </c>
      <c r="R43" s="16"/>
      <c r="S43" s="22">
        <v>0</v>
      </c>
      <c r="T43" s="22">
        <v>0</v>
      </c>
      <c r="U43" s="22">
        <f>L41</f>
        <v>700000</v>
      </c>
      <c r="V43" s="18"/>
      <c r="W43" s="17">
        <f>-2*COS(RADIANS(C41))*SIN(RADIANS(C41))</f>
        <v>-0.58537004508193347</v>
      </c>
      <c r="X43" s="17">
        <f>-W43</f>
        <v>0.58537004508193347</v>
      </c>
      <c r="Y43" s="17">
        <f>COS(RADIANS(C41))^2-SIN(RADIANS(C41))^2</f>
        <v>-0.810766248878661</v>
      </c>
      <c r="Z43" s="16"/>
      <c r="AA43" s="22">
        <v>822719.66053196532</v>
      </c>
      <c r="AB43" s="22">
        <v>7080225.9051421508</v>
      </c>
      <c r="AC43" s="22">
        <v>2958947.4571579881</v>
      </c>
      <c r="AD43" s="23"/>
      <c r="AE43" s="22">
        <v>13711.994342199421</v>
      </c>
      <c r="AF43" s="22">
        <v>118003.76508570251</v>
      </c>
      <c r="AG43" s="22">
        <v>49315.790952633135</v>
      </c>
    </row>
    <row r="44" spans="1:33" ht="5.4" customHeight="1" x14ac:dyDescent="0.3">
      <c r="A44" s="93"/>
      <c r="B44" s="91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</row>
    <row r="45" spans="1:33" x14ac:dyDescent="0.3">
      <c r="A45" s="93">
        <v>8</v>
      </c>
      <c r="B45" s="1">
        <v>2</v>
      </c>
      <c r="C45" s="5">
        <f>-C41</f>
        <v>-72.085431848882507</v>
      </c>
      <c r="D45" s="3" t="str">
        <f>_xlfn.XLOOKUP($B45,Materials!$B$2:$H$2,Materials!$B$3:$H$3,"## ##")</f>
        <v>T1100S/UF3376</v>
      </c>
      <c r="E45" s="9">
        <f>_xlfn.XLOOKUP(B45,Materials!$B$2:$H$2,Materials!B$17:H$17,"## ##")</f>
        <v>0.01</v>
      </c>
      <c r="F45" s="7">
        <f>F41</f>
        <v>0.4</v>
      </c>
      <c r="G45" s="9">
        <f>E45/(1-F45)</f>
        <v>1.6666666666666666E-2</v>
      </c>
      <c r="I45" s="4">
        <f>_xlfn.XLOOKUP($B45,Materials!$B$2:$H$2,Materials!$B$5:$H$5,"## ##")</f>
        <v>28400000</v>
      </c>
      <c r="J45" s="4">
        <f>_xlfn.XLOOKUP($B45,Materials!B$2:H$2,Materials!B$6:H$6,"## ##")</f>
        <v>1520000</v>
      </c>
      <c r="K45" s="13">
        <f>_xlfn.XLOOKUP($B45,Materials!B$2:H$2,Materials!B$7:H$7,"## ##")</f>
        <v>0.28999999999999998</v>
      </c>
      <c r="L45" s="4">
        <f>_xlfn.XLOOKUP($B45,Materials!B$2:H$2,Materials!B$8:H$8,"## ##")</f>
        <v>700000</v>
      </c>
      <c r="M45" s="13">
        <f>(J45/I45)*K45</f>
        <v>1.5521126760563379E-2</v>
      </c>
      <c r="O45" s="17">
        <f>COS(RADIANS(C45))^2</f>
        <v>9.4616875560669417E-2</v>
      </c>
      <c r="P45" s="17">
        <f>SIN(RADIANS(C45))^2</f>
        <v>0.90538312443933044</v>
      </c>
      <c r="Q45" s="17">
        <f>-2*COS(RADIANS(C45))*SIN(RADIANS(C45))</f>
        <v>0.58537004508193347</v>
      </c>
      <c r="R45" s="16"/>
      <c r="S45" s="22">
        <f>I45/(1-K45*M45)</f>
        <v>28528409.989640694</v>
      </c>
      <c r="T45" s="22">
        <f>M45*I45/(1-K45*M45)</f>
        <v>442793.06772653584</v>
      </c>
      <c r="U45" s="22">
        <v>0</v>
      </c>
      <c r="V45" s="18"/>
      <c r="W45" s="17">
        <f>COS(RADIANS(C45))^2</f>
        <v>9.4616875560669417E-2</v>
      </c>
      <c r="X45" s="17">
        <f>SIN(RADIANS(C45))^2</f>
        <v>0.90538312443933044</v>
      </c>
      <c r="Y45" s="17">
        <f>COS(RADIANS(C45))*SIN(RADIANS(C45))</f>
        <v>-0.29268502254096673</v>
      </c>
      <c r="Z45" s="16"/>
      <c r="AA45" s="22" cm="1">
        <f t="array" ref="AA45:AC47">MMULT(MMULT(O45:Q47,S45:U47),W45:Y47)</f>
        <v>1822726.2888387998</v>
      </c>
      <c r="AB45" s="22">
        <v>2701740.5248845238</v>
      </c>
      <c r="AC45" s="22">
        <v>-822719.66053196508</v>
      </c>
      <c r="AD45" s="23"/>
      <c r="AE45" s="22" cm="1">
        <f t="array" ref="AE45:AG47">G45*(_xlfn.ANCHORARRAY(AA45))</f>
        <v>30378.771480646665</v>
      </c>
      <c r="AF45" s="22">
        <v>45029.008748075394</v>
      </c>
      <c r="AG45" s="22">
        <v>-13711.994342199418</v>
      </c>
    </row>
    <row r="46" spans="1:33" x14ac:dyDescent="0.3">
      <c r="A46" s="93"/>
      <c r="B46" s="87"/>
      <c r="C46" s="88"/>
      <c r="D46" s="88"/>
      <c r="E46" s="88"/>
      <c r="F46" s="88"/>
      <c r="G46" s="88"/>
      <c r="O46" s="17">
        <f>SIN(RADIANS(C45))^2</f>
        <v>0.90538312443933044</v>
      </c>
      <c r="P46" s="17">
        <f>COS(RADIANS(C45))^2</f>
        <v>9.4616875560669417E-2</v>
      </c>
      <c r="Q46" s="17">
        <f>2*COS(RADIANS(C45))*SIN(RADIANS(C45))</f>
        <v>-0.58537004508193347</v>
      </c>
      <c r="R46" s="16" t="s">
        <v>31</v>
      </c>
      <c r="S46" s="22">
        <f>K45*J45/(1-K45*M45)</f>
        <v>442793.06772653578</v>
      </c>
      <c r="T46" s="22">
        <f>J45/(1-K45*M45)</f>
        <v>1526872.6473328823</v>
      </c>
      <c r="U46" s="22">
        <v>0</v>
      </c>
      <c r="V46" s="18" t="s">
        <v>31</v>
      </c>
      <c r="W46" s="17">
        <f>X45</f>
        <v>0.90538312443933044</v>
      </c>
      <c r="X46" s="17">
        <f>W45</f>
        <v>9.4616875560669417E-2</v>
      </c>
      <c r="Y46" s="17">
        <f>-COS(RADIANS(C45))*SIN(RADIANS(C45))</f>
        <v>0.29268502254096673</v>
      </c>
      <c r="Z46" s="16" t="str">
        <f>"="</f>
        <v>=</v>
      </c>
      <c r="AA46" s="22">
        <v>2701740.5248845238</v>
      </c>
      <c r="AB46" s="22">
        <v>23714661.433818791</v>
      </c>
      <c r="AC46" s="22">
        <v>-7080225.9051421499</v>
      </c>
      <c r="AD46" s="23" t="str">
        <f>"==&gt;"</f>
        <v>==&gt;</v>
      </c>
      <c r="AE46" s="22">
        <v>45029.008748075394</v>
      </c>
      <c r="AF46" s="22">
        <v>395244.35723031318</v>
      </c>
      <c r="AG46" s="22">
        <v>-118003.7650857025</v>
      </c>
    </row>
    <row r="47" spans="1:33" x14ac:dyDescent="0.3">
      <c r="A47" s="93"/>
      <c r="B47" s="89"/>
      <c r="C47" s="90"/>
      <c r="D47" s="90"/>
      <c r="E47" s="90"/>
      <c r="F47" s="90"/>
      <c r="G47" s="90"/>
      <c r="O47" s="17">
        <f>COS(RADIANS(C45))*SIN(RADIANS(C45))</f>
        <v>-0.29268502254096673</v>
      </c>
      <c r="P47" s="17">
        <f>-COS(RADIANS(C45))*SIN(RADIANS(C45))</f>
        <v>0.29268502254096673</v>
      </c>
      <c r="Q47" s="17">
        <f>COS(RADIANS(C45))^2-SIN(RADIANS(C45))^2</f>
        <v>-0.810766248878661</v>
      </c>
      <c r="R47" s="16"/>
      <c r="S47" s="22">
        <v>0</v>
      </c>
      <c r="T47" s="22">
        <v>0</v>
      </c>
      <c r="U47" s="22">
        <f>L45</f>
        <v>700000</v>
      </c>
      <c r="V47" s="18"/>
      <c r="W47" s="17">
        <f>-2*COS(RADIANS(C45))*SIN(RADIANS(C45))</f>
        <v>0.58537004508193347</v>
      </c>
      <c r="X47" s="17">
        <f>-W47</f>
        <v>-0.58537004508193347</v>
      </c>
      <c r="Y47" s="17">
        <f>COS(RADIANS(C45))^2-SIN(RADIANS(C45))^2</f>
        <v>-0.810766248878661</v>
      </c>
      <c r="Z47" s="16"/>
      <c r="AA47" s="22">
        <v>-822719.66053196532</v>
      </c>
      <c r="AB47" s="22">
        <v>-7080225.9051421508</v>
      </c>
      <c r="AC47" s="22">
        <v>2958947.4571579881</v>
      </c>
      <c r="AD47" s="23"/>
      <c r="AE47" s="22">
        <v>-13711.994342199421</v>
      </c>
      <c r="AF47" s="22">
        <v>-118003.76508570251</v>
      </c>
      <c r="AG47" s="22">
        <v>49315.790952633135</v>
      </c>
    </row>
    <row r="48" spans="1:33" ht="6" customHeight="1" x14ac:dyDescent="0.3">
      <c r="A48" s="93"/>
    </row>
    <row r="49" spans="1:33" x14ac:dyDescent="0.3">
      <c r="A49" s="93">
        <v>9</v>
      </c>
      <c r="B49" s="1">
        <v>1</v>
      </c>
      <c r="C49" s="5">
        <v>0</v>
      </c>
      <c r="D49" s="3" t="str">
        <f>_xlfn.XLOOKUP($B49,Materials!$B$2:$H$2,Materials!$B$3:$H$3,"## ##")</f>
        <v>T700S/UF3325</v>
      </c>
      <c r="E49" s="9">
        <f>_xlfn.XLOOKUP(B49,Materials!$B$2:$H$2,Materials!B$17:H$17,"## ##")</f>
        <v>8.7500000000000008E-3</v>
      </c>
      <c r="F49" s="7">
        <v>0</v>
      </c>
      <c r="G49" s="9">
        <f>E49/(1-F49)</f>
        <v>8.7500000000000008E-3</v>
      </c>
      <c r="I49" s="4">
        <f>_xlfn.XLOOKUP($B49,Materials!$B$2:$H$2,Materials!$B$5:$H$5,"## ##")</f>
        <v>25000000</v>
      </c>
      <c r="J49" s="4">
        <f>_xlfn.XLOOKUP($B49,Materials!B$2:H$2,Materials!B$6:H$6,"## ##")</f>
        <v>1500000</v>
      </c>
      <c r="K49" s="13">
        <f>_xlfn.XLOOKUP($B49,Materials!B$2:H$2,Materials!B$7:H$7,"## ##")</f>
        <v>0.21</v>
      </c>
      <c r="L49" s="4">
        <f>_xlfn.XLOOKUP($B49,Materials!B$2:H$2,Materials!B$8:H$8,"## ##")</f>
        <v>650000</v>
      </c>
      <c r="M49" s="13">
        <f>(J49/I49)*K49</f>
        <v>1.2599999999999998E-2</v>
      </c>
      <c r="O49" s="17">
        <f>COS(RADIANS(C49))^2</f>
        <v>1</v>
      </c>
      <c r="P49" s="17">
        <f>SIN(RADIANS(C49))^2</f>
        <v>0</v>
      </c>
      <c r="Q49" s="17">
        <f>-2*COS(RADIANS(C49))*SIN(RADIANS(C49))</f>
        <v>0</v>
      </c>
      <c r="R49" s="16"/>
      <c r="S49" s="22">
        <f>I49/(1-K49*M49)</f>
        <v>25066325.497265767</v>
      </c>
      <c r="T49" s="22">
        <f>M49*I49/(1-K49*M49)</f>
        <v>315835.70126554859</v>
      </c>
      <c r="U49" s="22">
        <v>0</v>
      </c>
      <c r="V49" s="18"/>
      <c r="W49" s="17">
        <f>COS(RADIANS(C49))^2</f>
        <v>1</v>
      </c>
      <c r="X49" s="17">
        <f>SIN(RADIANS(C49))^2</f>
        <v>0</v>
      </c>
      <c r="Y49" s="17">
        <f>COS(RADIANS(C49))*SIN(RADIANS(C49))</f>
        <v>0</v>
      </c>
      <c r="Z49" s="16"/>
      <c r="AA49" s="22" cm="1">
        <f t="array" ref="AA49:AC51">MMULT(MMULT(O49:Q51,S49:U51),W49:Y51)</f>
        <v>25066325.497265767</v>
      </c>
      <c r="AB49" s="22">
        <v>315835.70126554859</v>
      </c>
      <c r="AC49" s="22">
        <v>0</v>
      </c>
      <c r="AD49" s="23"/>
      <c r="AE49" s="22" cm="1">
        <f t="array" ref="AE49:AG51">G49*(_xlfn.ANCHORARRAY(AA49))</f>
        <v>219330.34810107548</v>
      </c>
      <c r="AF49" s="22">
        <v>2763.5623860735504</v>
      </c>
      <c r="AG49" s="22">
        <v>0</v>
      </c>
    </row>
    <row r="50" spans="1:33" x14ac:dyDescent="0.3">
      <c r="A50" s="93"/>
      <c r="B50" s="87"/>
      <c r="C50" s="88"/>
      <c r="D50" s="88"/>
      <c r="E50" s="88"/>
      <c r="F50" s="88"/>
      <c r="G50" s="88"/>
      <c r="O50" s="17">
        <f>SIN(RADIANS(C49))^2</f>
        <v>0</v>
      </c>
      <c r="P50" s="17">
        <f>COS(RADIANS(C49))^2</f>
        <v>1</v>
      </c>
      <c r="Q50" s="17">
        <f>2*COS(RADIANS(C49))*SIN(RADIANS(C49))</f>
        <v>0</v>
      </c>
      <c r="R50" s="16" t="s">
        <v>31</v>
      </c>
      <c r="S50" s="22">
        <f>K49*J49/(1-K49*M49)</f>
        <v>315835.70126554865</v>
      </c>
      <c r="T50" s="22">
        <f>J49/(1-K49*M49)</f>
        <v>1503979.5298359459</v>
      </c>
      <c r="U50" s="22">
        <v>0</v>
      </c>
      <c r="V50" s="18" t="s">
        <v>31</v>
      </c>
      <c r="W50" s="17">
        <f>X49</f>
        <v>0</v>
      </c>
      <c r="X50" s="17">
        <f>W49</f>
        <v>1</v>
      </c>
      <c r="Y50" s="17">
        <f>-COS(RADIANS(C49))*SIN(RADIANS(C49))</f>
        <v>0</v>
      </c>
      <c r="Z50" s="16" t="str">
        <f>"="</f>
        <v>=</v>
      </c>
      <c r="AA50" s="22">
        <v>315835.70126554865</v>
      </c>
      <c r="AB50" s="22">
        <v>1503979.5298359459</v>
      </c>
      <c r="AC50" s="22">
        <v>0</v>
      </c>
      <c r="AD50" s="23" t="str">
        <f>"==&gt;"</f>
        <v>==&gt;</v>
      </c>
      <c r="AE50" s="22">
        <v>2763.5623860735509</v>
      </c>
      <c r="AF50" s="22">
        <v>13159.820886064528</v>
      </c>
      <c r="AG50" s="22">
        <v>0</v>
      </c>
    </row>
    <row r="51" spans="1:33" x14ac:dyDescent="0.3">
      <c r="A51" s="93"/>
      <c r="B51" s="89"/>
      <c r="C51" s="90"/>
      <c r="D51" s="90"/>
      <c r="E51" s="90"/>
      <c r="F51" s="90"/>
      <c r="G51" s="90"/>
      <c r="O51" s="17">
        <f>COS(RADIANS(C49))*SIN(RADIANS(C49))</f>
        <v>0</v>
      </c>
      <c r="P51" s="17">
        <f>-COS(RADIANS(C49))*SIN(RADIANS(C49))</f>
        <v>0</v>
      </c>
      <c r="Q51" s="17">
        <f>COS(RADIANS(C49))^2-SIN(RADIANS(C49))^2</f>
        <v>1</v>
      </c>
      <c r="R51" s="16"/>
      <c r="S51" s="22">
        <v>0</v>
      </c>
      <c r="T51" s="22">
        <v>0</v>
      </c>
      <c r="U51" s="22">
        <f>L49</f>
        <v>650000</v>
      </c>
      <c r="V51" s="18"/>
      <c r="W51" s="17">
        <f>-2*COS(RADIANS(C49))*SIN(RADIANS(C49))</f>
        <v>0</v>
      </c>
      <c r="X51" s="17">
        <f>-W51</f>
        <v>0</v>
      </c>
      <c r="Y51" s="17">
        <f>COS(RADIANS(C49))^2-SIN(RADIANS(C49))^2</f>
        <v>1</v>
      </c>
      <c r="Z51" s="16"/>
      <c r="AA51" s="22">
        <v>0</v>
      </c>
      <c r="AB51" s="22">
        <v>0</v>
      </c>
      <c r="AC51" s="22">
        <v>650000</v>
      </c>
      <c r="AD51" s="23"/>
      <c r="AE51" s="22">
        <v>0</v>
      </c>
      <c r="AF51" s="22">
        <v>0</v>
      </c>
      <c r="AG51" s="22">
        <v>5687.5000000000009</v>
      </c>
    </row>
    <row r="52" spans="1:33" ht="6" customHeight="1" x14ac:dyDescent="0.3">
      <c r="A52" s="93"/>
      <c r="B52" s="91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</row>
    <row r="53" spans="1:33" x14ac:dyDescent="0.3">
      <c r="A53" s="93">
        <v>10</v>
      </c>
      <c r="B53" s="1">
        <v>1</v>
      </c>
      <c r="C53" s="5">
        <f>-C49</f>
        <v>0</v>
      </c>
      <c r="D53" s="3" t="str">
        <f>_xlfn.XLOOKUP($B53,Materials!$B$2:$H$2,Materials!$B$3:$H$3,"## ##")</f>
        <v>T700S/UF3325</v>
      </c>
      <c r="E53" s="9">
        <f>_xlfn.XLOOKUP(B53,Materials!$B$2:$H$2,Materials!B$17:H$17,"## ##")</f>
        <v>8.7500000000000008E-3</v>
      </c>
      <c r="F53" s="7">
        <v>0</v>
      </c>
      <c r="G53" s="9">
        <f>E53/(1-F53)</f>
        <v>8.7500000000000008E-3</v>
      </c>
      <c r="I53" s="4">
        <f>_xlfn.XLOOKUP($B53,Materials!$B$2:$H$2,Materials!$B$5:$H$5,"## ##")</f>
        <v>25000000</v>
      </c>
      <c r="J53" s="4">
        <f>_xlfn.XLOOKUP($B53,Materials!B$2:H$2,Materials!B$6:H$6,"## ##")</f>
        <v>1500000</v>
      </c>
      <c r="K53" s="13">
        <f>_xlfn.XLOOKUP($B53,Materials!B$2:H$2,Materials!B$7:H$7,"## ##")</f>
        <v>0.21</v>
      </c>
      <c r="L53" s="4">
        <f>_xlfn.XLOOKUP($B53,Materials!B$2:H$2,Materials!B$8:H$8,"## ##")</f>
        <v>650000</v>
      </c>
      <c r="M53" s="13">
        <f>(J53/I53)*K53</f>
        <v>1.2599999999999998E-2</v>
      </c>
      <c r="O53" s="17">
        <f>COS(RADIANS(C53))^2</f>
        <v>1</v>
      </c>
      <c r="P53" s="17">
        <f>SIN(RADIANS(C53))^2</f>
        <v>0</v>
      </c>
      <c r="Q53" s="17">
        <f>-2*COS(RADIANS(C53))*SIN(RADIANS(C53))</f>
        <v>0</v>
      </c>
      <c r="R53" s="16"/>
      <c r="S53" s="22">
        <f>I53/(1-K53*M53)</f>
        <v>25066325.497265767</v>
      </c>
      <c r="T53" s="22">
        <f>M53*I53/(1-K53*M53)</f>
        <v>315835.70126554859</v>
      </c>
      <c r="U53" s="22">
        <v>0</v>
      </c>
      <c r="V53" s="18"/>
      <c r="W53" s="17">
        <f>COS(RADIANS(C53))^2</f>
        <v>1</v>
      </c>
      <c r="X53" s="17">
        <f>SIN(RADIANS(C53))^2</f>
        <v>0</v>
      </c>
      <c r="Y53" s="17">
        <f>COS(RADIANS(C53))*SIN(RADIANS(C53))</f>
        <v>0</v>
      </c>
      <c r="Z53" s="16"/>
      <c r="AA53" s="22" cm="1">
        <f t="array" ref="AA53:AC55">MMULT(MMULT(O53:Q55,S53:U55),W53:Y55)</f>
        <v>25066325.497265767</v>
      </c>
      <c r="AB53" s="22">
        <v>315835.70126554859</v>
      </c>
      <c r="AC53" s="22">
        <v>0</v>
      </c>
      <c r="AD53" s="23"/>
      <c r="AE53" s="22" cm="1">
        <f t="array" ref="AE53:AG55">G53*(_xlfn.ANCHORARRAY(AA53))</f>
        <v>219330.34810107548</v>
      </c>
      <c r="AF53" s="22">
        <v>2763.5623860735504</v>
      </c>
      <c r="AG53" s="22">
        <v>0</v>
      </c>
    </row>
    <row r="54" spans="1:33" x14ac:dyDescent="0.3">
      <c r="A54" s="93"/>
      <c r="B54" s="87"/>
      <c r="C54" s="88"/>
      <c r="D54" s="88"/>
      <c r="E54" s="88"/>
      <c r="F54" s="88"/>
      <c r="G54" s="88"/>
      <c r="O54" s="17">
        <f>SIN(RADIANS(C53))^2</f>
        <v>0</v>
      </c>
      <c r="P54" s="17">
        <f>COS(RADIANS(C53))^2</f>
        <v>1</v>
      </c>
      <c r="Q54" s="17">
        <f>2*COS(RADIANS(C53))*SIN(RADIANS(C53))</f>
        <v>0</v>
      </c>
      <c r="R54" s="16" t="s">
        <v>31</v>
      </c>
      <c r="S54" s="22">
        <f>K53*J53/(1-K53*M53)</f>
        <v>315835.70126554865</v>
      </c>
      <c r="T54" s="22">
        <f>J53/(1-K53*M53)</f>
        <v>1503979.5298359459</v>
      </c>
      <c r="U54" s="22">
        <v>0</v>
      </c>
      <c r="V54" s="18" t="s">
        <v>31</v>
      </c>
      <c r="W54" s="17">
        <f>X53</f>
        <v>0</v>
      </c>
      <c r="X54" s="17">
        <f>W53</f>
        <v>1</v>
      </c>
      <c r="Y54" s="17">
        <f>-COS(RADIANS(C53))*SIN(RADIANS(C53))</f>
        <v>0</v>
      </c>
      <c r="Z54" s="16" t="str">
        <f>"="</f>
        <v>=</v>
      </c>
      <c r="AA54" s="22">
        <v>315835.70126554865</v>
      </c>
      <c r="AB54" s="22">
        <v>1503979.5298359459</v>
      </c>
      <c r="AC54" s="22">
        <v>0</v>
      </c>
      <c r="AD54" s="23" t="str">
        <f>"==&gt;"</f>
        <v>==&gt;</v>
      </c>
      <c r="AE54" s="22">
        <v>2763.5623860735509</v>
      </c>
      <c r="AF54" s="22">
        <v>13159.820886064528</v>
      </c>
      <c r="AG54" s="22">
        <v>0</v>
      </c>
    </row>
    <row r="55" spans="1:33" x14ac:dyDescent="0.3">
      <c r="A55" s="93"/>
      <c r="B55" s="89"/>
      <c r="C55" s="90"/>
      <c r="D55" s="90"/>
      <c r="E55" s="90"/>
      <c r="F55" s="90"/>
      <c r="G55" s="90"/>
      <c r="O55" s="17">
        <f>COS(RADIANS(C53))*SIN(RADIANS(C53))</f>
        <v>0</v>
      </c>
      <c r="P55" s="17">
        <f>-COS(RADIANS(C53))*SIN(RADIANS(C53))</f>
        <v>0</v>
      </c>
      <c r="Q55" s="17">
        <f>COS(RADIANS(C53))^2-SIN(RADIANS(C53))^2</f>
        <v>1</v>
      </c>
      <c r="R55" s="16"/>
      <c r="S55" s="22">
        <v>0</v>
      </c>
      <c r="T55" s="22">
        <v>0</v>
      </c>
      <c r="U55" s="22">
        <f>L53</f>
        <v>650000</v>
      </c>
      <c r="V55" s="18"/>
      <c r="W55" s="17">
        <f>-2*COS(RADIANS(C53))*SIN(RADIANS(C53))</f>
        <v>0</v>
      </c>
      <c r="X55" s="17">
        <f>-W55</f>
        <v>0</v>
      </c>
      <c r="Y55" s="17">
        <f>COS(RADIANS(C53))^2-SIN(RADIANS(C53))^2</f>
        <v>1</v>
      </c>
      <c r="Z55" s="16"/>
      <c r="AA55" s="22">
        <v>0</v>
      </c>
      <c r="AB55" s="22">
        <v>0</v>
      </c>
      <c r="AC55" s="22">
        <v>650000</v>
      </c>
      <c r="AD55" s="23"/>
      <c r="AE55" s="22">
        <v>0</v>
      </c>
      <c r="AF55" s="22">
        <v>0</v>
      </c>
      <c r="AG55" s="22">
        <v>5687.5000000000009</v>
      </c>
    </row>
    <row r="56" spans="1:33" ht="6" customHeight="1" x14ac:dyDescent="0.3">
      <c r="A56" s="93"/>
    </row>
    <row r="58" spans="1:33" x14ac:dyDescent="0.3">
      <c r="B58" s="69" t="s">
        <v>63</v>
      </c>
      <c r="C58" s="69"/>
      <c r="D58" s="69"/>
      <c r="E58" s="69"/>
      <c r="F58" s="69"/>
      <c r="G58" s="69"/>
    </row>
    <row r="59" spans="1:33" x14ac:dyDescent="0.3">
      <c r="B59" s="20" t="s">
        <v>32</v>
      </c>
      <c r="C59" s="20" t="s">
        <v>1</v>
      </c>
      <c r="D59" s="20" t="s">
        <v>34</v>
      </c>
      <c r="E59" s="20" t="s">
        <v>35</v>
      </c>
      <c r="F59" s="20" t="s">
        <v>36</v>
      </c>
      <c r="G59" s="20" t="s">
        <v>37</v>
      </c>
    </row>
    <row r="60" spans="1:33" x14ac:dyDescent="0.3">
      <c r="B60" s="9" t="str">
        <f>IF(SUM(C17:C45)=0,"SYMMETRIC","ASYMMETRIC")</f>
        <v>SYMMETRIC</v>
      </c>
      <c r="C60" s="9">
        <f>SUM(G17:G55)</f>
        <v>0.15083333333333335</v>
      </c>
      <c r="D60" s="14">
        <f>1/(C60*E63)</f>
        <v>10033378.393314542</v>
      </c>
      <c r="E60" s="14">
        <f>1/(C60*F64)</f>
        <v>7402690.9295038236</v>
      </c>
      <c r="F60" s="9">
        <f>-E64/E63</f>
        <v>0.5011043691826198</v>
      </c>
      <c r="G60" s="14">
        <f>1/(C60*G65)</f>
        <v>4819188.2800193867</v>
      </c>
    </row>
    <row r="62" spans="1:33" x14ac:dyDescent="0.3">
      <c r="B62" s="86" t="s">
        <v>30</v>
      </c>
      <c r="C62" s="86"/>
      <c r="D62" s="86"/>
      <c r="E62" s="86" t="s">
        <v>33</v>
      </c>
      <c r="F62" s="86"/>
      <c r="G62" s="86"/>
    </row>
    <row r="63" spans="1:33" x14ac:dyDescent="0.3">
      <c r="B63" s="10">
        <f t="shared" ref="B63:D65" si="1">SUM(AE17,AE21,AE25,AE29,AE33,AE37,AE41,AE45,AE49,AE53)</f>
        <v>1857502.3851988937</v>
      </c>
      <c r="C63" s="10">
        <f t="shared" si="1"/>
        <v>686752.09937194258</v>
      </c>
      <c r="D63" s="10">
        <f t="shared" si="1"/>
        <v>0</v>
      </c>
      <c r="E63" s="10" cm="1">
        <f t="array" ref="E63:G65">MINVERSE(B63:D65)</f>
        <v>6.6077785510025706E-7</v>
      </c>
      <c r="F63" s="10">
        <v>-3.311186702498589E-7</v>
      </c>
      <c r="G63" s="10">
        <v>0</v>
      </c>
    </row>
    <row r="64" spans="1:33" x14ac:dyDescent="0.3">
      <c r="B64" s="10">
        <f t="shared" si="1"/>
        <v>686752.09937194258</v>
      </c>
      <c r="C64" s="10">
        <f t="shared" si="1"/>
        <v>1370477.1732326811</v>
      </c>
      <c r="D64" s="10">
        <f t="shared" si="1"/>
        <v>0</v>
      </c>
      <c r="E64" s="10">
        <v>-3.311186702498589E-7</v>
      </c>
      <c r="F64" s="10">
        <v>8.9559787343276529E-7</v>
      </c>
      <c r="G64" s="10">
        <v>0</v>
      </c>
    </row>
    <row r="65" spans="2:7" x14ac:dyDescent="0.3">
      <c r="B65" s="10">
        <f t="shared" si="1"/>
        <v>0</v>
      </c>
      <c r="C65" s="10">
        <f t="shared" si="1"/>
        <v>0</v>
      </c>
      <c r="D65" s="10">
        <f t="shared" si="1"/>
        <v>726894.23223625752</v>
      </c>
      <c r="E65" s="10">
        <v>0</v>
      </c>
      <c r="F65" s="10">
        <v>0</v>
      </c>
      <c r="G65" s="10">
        <v>1.3757159647883637E-6</v>
      </c>
    </row>
    <row r="67" spans="2:7" x14ac:dyDescent="0.3">
      <c r="C67" s="24" t="s">
        <v>47</v>
      </c>
      <c r="D67" s="24"/>
      <c r="F67" s="24" t="s">
        <v>48</v>
      </c>
      <c r="G67" s="28"/>
    </row>
    <row r="68" spans="2:7" x14ac:dyDescent="0.3">
      <c r="C68" s="14">
        <f>B13</f>
        <v>1275</v>
      </c>
      <c r="F68" s="21" cm="1">
        <f t="array" ref="F68:F70">MMULT(_xlfn.ANCHORARRAY(E63),C68:C70)</f>
        <v>-1.8608438843123768E-6</v>
      </c>
    </row>
    <row r="69" spans="2:7" x14ac:dyDescent="0.3">
      <c r="C69" s="14">
        <f>C13</f>
        <v>2550</v>
      </c>
      <c r="F69" s="21">
        <v>1.8615982726849815E-3</v>
      </c>
    </row>
    <row r="70" spans="2:7" x14ac:dyDescent="0.3">
      <c r="C70" s="14">
        <f>D13</f>
        <v>0</v>
      </c>
      <c r="F70" s="21">
        <v>0</v>
      </c>
    </row>
  </sheetData>
  <mergeCells count="43">
    <mergeCell ref="B1:G1"/>
    <mergeCell ref="H1:J1"/>
    <mergeCell ref="O16:Q16"/>
    <mergeCell ref="S16:U16"/>
    <mergeCell ref="W16:Y16"/>
    <mergeCell ref="B11:D11"/>
    <mergeCell ref="I3:M12"/>
    <mergeCell ref="F11:G11"/>
    <mergeCell ref="B3:G3"/>
    <mergeCell ref="O4:P4"/>
    <mergeCell ref="O5:P5"/>
    <mergeCell ref="O3:P3"/>
    <mergeCell ref="O6:P6"/>
    <mergeCell ref="AE16:AG16"/>
    <mergeCell ref="B15:G15"/>
    <mergeCell ref="B20:AG20"/>
    <mergeCell ref="B28:AG28"/>
    <mergeCell ref="B36:AG36"/>
    <mergeCell ref="AA16:AC16"/>
    <mergeCell ref="A37:A40"/>
    <mergeCell ref="A41:A44"/>
    <mergeCell ref="A45:A48"/>
    <mergeCell ref="A49:A52"/>
    <mergeCell ref="A53:A56"/>
    <mergeCell ref="A17:A20"/>
    <mergeCell ref="A21:A24"/>
    <mergeCell ref="A25:A28"/>
    <mergeCell ref="A29:A32"/>
    <mergeCell ref="A33:A36"/>
    <mergeCell ref="B62:D62"/>
    <mergeCell ref="E62:G62"/>
    <mergeCell ref="B18:G19"/>
    <mergeCell ref="B22:G23"/>
    <mergeCell ref="B26:G27"/>
    <mergeCell ref="B30:G31"/>
    <mergeCell ref="B38:G39"/>
    <mergeCell ref="B42:G43"/>
    <mergeCell ref="B46:G47"/>
    <mergeCell ref="B50:G51"/>
    <mergeCell ref="B52:AG52"/>
    <mergeCell ref="B44:AG44"/>
    <mergeCell ref="B58:G58"/>
    <mergeCell ref="B54:G5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F44B-5D81-41D9-B841-41C21A7B8B43}">
  <sheetPr codeName="Sheet3"/>
  <dimension ref="A2:M27"/>
  <sheetViews>
    <sheetView zoomScale="85" zoomScaleNormal="85" workbookViewId="0">
      <selection activeCell="H14" sqref="H14"/>
    </sheetView>
  </sheetViews>
  <sheetFormatPr defaultRowHeight="14.4" x14ac:dyDescent="0.3"/>
  <cols>
    <col min="1" max="1" width="14" customWidth="1"/>
    <col min="2" max="7" width="14.33203125" customWidth="1"/>
    <col min="8" max="8" width="14.77734375" customWidth="1"/>
    <col min="11" max="11" width="11.33203125" bestFit="1" customWidth="1"/>
  </cols>
  <sheetData>
    <row r="2" spans="1:8" x14ac:dyDescent="0.3">
      <c r="A2" t="s">
        <v>0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</row>
    <row r="3" spans="1:8" x14ac:dyDescent="0.3">
      <c r="A3" t="s">
        <v>2</v>
      </c>
      <c r="B3" t="s">
        <v>59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57</v>
      </c>
    </row>
    <row r="5" spans="1:8" x14ac:dyDescent="0.3">
      <c r="A5" t="s">
        <v>8</v>
      </c>
      <c r="B5" s="2">
        <v>1</v>
      </c>
      <c r="C5" s="2">
        <v>25000000</v>
      </c>
      <c r="D5" s="2">
        <v>28400000</v>
      </c>
      <c r="E5" s="2">
        <v>27000000</v>
      </c>
      <c r="F5" s="2">
        <v>23900000</v>
      </c>
      <c r="G5" s="2">
        <v>27400000</v>
      </c>
      <c r="H5" s="2">
        <v>22000000</v>
      </c>
    </row>
    <row r="6" spans="1:8" x14ac:dyDescent="0.3">
      <c r="A6" t="s">
        <v>9</v>
      </c>
      <c r="B6" s="2">
        <v>1</v>
      </c>
      <c r="C6" s="2">
        <v>1500000</v>
      </c>
      <c r="D6" s="2">
        <v>1520000</v>
      </c>
      <c r="E6" s="2">
        <v>1060000</v>
      </c>
      <c r="F6" s="2">
        <v>1650000</v>
      </c>
      <c r="G6" s="2">
        <v>1180000</v>
      </c>
      <c r="H6" s="2">
        <v>1030000</v>
      </c>
    </row>
    <row r="7" spans="1:8" x14ac:dyDescent="0.3">
      <c r="A7" t="s">
        <v>10</v>
      </c>
      <c r="B7" s="2">
        <v>0.3</v>
      </c>
      <c r="C7" s="2">
        <v>0.21</v>
      </c>
      <c r="D7" s="2">
        <v>0.28999999999999998</v>
      </c>
      <c r="E7" s="2">
        <v>0.25</v>
      </c>
      <c r="F7" s="2">
        <v>0.32</v>
      </c>
      <c r="G7" s="2">
        <v>0.28999999999999998</v>
      </c>
      <c r="H7" s="2">
        <v>0.32</v>
      </c>
    </row>
    <row r="8" spans="1:8" x14ac:dyDescent="0.3">
      <c r="A8" t="s">
        <v>11</v>
      </c>
      <c r="B8" s="2">
        <v>1</v>
      </c>
      <c r="C8" s="2">
        <v>650000</v>
      </c>
      <c r="D8" s="2">
        <v>700000</v>
      </c>
      <c r="E8" s="2">
        <v>660000</v>
      </c>
      <c r="F8" s="2">
        <v>810000</v>
      </c>
      <c r="G8" s="2">
        <v>700000</v>
      </c>
      <c r="H8" s="2">
        <v>810000</v>
      </c>
    </row>
    <row r="9" spans="1:8" x14ac:dyDescent="0.3">
      <c r="B9" s="2"/>
      <c r="C9" s="2"/>
      <c r="D9" s="2"/>
      <c r="E9" s="2"/>
      <c r="F9" s="2"/>
      <c r="G9" s="2"/>
      <c r="H9" s="2"/>
    </row>
    <row r="10" spans="1:8" x14ac:dyDescent="0.3">
      <c r="A10" t="s">
        <v>92</v>
      </c>
      <c r="B10" s="2">
        <v>0</v>
      </c>
      <c r="C10" s="2">
        <v>305000</v>
      </c>
      <c r="H10" s="2">
        <v>302800</v>
      </c>
    </row>
    <row r="11" spans="1:8" x14ac:dyDescent="0.3">
      <c r="A11" t="s">
        <v>93</v>
      </c>
      <c r="B11" s="2">
        <v>0</v>
      </c>
      <c r="C11" s="2">
        <v>6500</v>
      </c>
      <c r="H11" s="2">
        <v>8300</v>
      </c>
    </row>
    <row r="12" spans="1:8" x14ac:dyDescent="0.3">
      <c r="A12" t="s">
        <v>94</v>
      </c>
      <c r="B12" s="2">
        <v>0</v>
      </c>
      <c r="C12" s="2">
        <v>14000</v>
      </c>
      <c r="H12" s="2">
        <v>10900</v>
      </c>
    </row>
    <row r="13" spans="1:8" x14ac:dyDescent="0.3">
      <c r="A13" t="s">
        <v>85</v>
      </c>
      <c r="B13" s="2">
        <v>0</v>
      </c>
      <c r="C13">
        <v>1.7000000000000001E-2</v>
      </c>
      <c r="H13">
        <v>1.0800000000000001E-2</v>
      </c>
    </row>
    <row r="14" spans="1:8" x14ac:dyDescent="0.3">
      <c r="A14" t="s">
        <v>86</v>
      </c>
      <c r="B14" s="2">
        <v>0</v>
      </c>
      <c r="C14" s="6"/>
    </row>
    <row r="17" spans="1:13" x14ac:dyDescent="0.3">
      <c r="A17" t="s">
        <v>18</v>
      </c>
      <c r="B17" s="2">
        <v>0</v>
      </c>
      <c r="C17" s="2">
        <f>0.00875</f>
        <v>8.7500000000000008E-3</v>
      </c>
      <c r="D17" s="2">
        <v>0.01</v>
      </c>
      <c r="E17" s="2">
        <v>0.01</v>
      </c>
      <c r="F17" s="2">
        <v>0.01</v>
      </c>
      <c r="G17" s="2">
        <v>0.01</v>
      </c>
      <c r="H17" s="2">
        <v>5.94E-3</v>
      </c>
    </row>
    <row r="18" spans="1:13" x14ac:dyDescent="0.3">
      <c r="C18" s="2"/>
      <c r="H18" s="2"/>
    </row>
    <row r="19" spans="1:13" x14ac:dyDescent="0.3">
      <c r="C19" s="2"/>
      <c r="H19" s="2"/>
    </row>
    <row r="20" spans="1:13" x14ac:dyDescent="0.3">
      <c r="C20" s="2"/>
      <c r="H20" s="2"/>
    </row>
    <row r="21" spans="1:13" x14ac:dyDescent="0.3">
      <c r="C21" s="2"/>
      <c r="H21" s="2"/>
      <c r="K21" s="2"/>
      <c r="L21" s="2"/>
      <c r="M21" s="2"/>
    </row>
    <row r="22" spans="1:13" x14ac:dyDescent="0.3">
      <c r="C22" s="2"/>
      <c r="H22" s="2"/>
      <c r="K22" s="2"/>
      <c r="L22" s="2"/>
      <c r="M22" s="2"/>
    </row>
    <row r="23" spans="1:13" x14ac:dyDescent="0.3">
      <c r="K23" s="2"/>
      <c r="L23" s="2"/>
      <c r="M23" s="2"/>
    </row>
    <row r="24" spans="1:13" x14ac:dyDescent="0.3">
      <c r="K24" s="2"/>
      <c r="L24" s="2"/>
      <c r="M24" s="2"/>
    </row>
    <row r="25" spans="1:13" x14ac:dyDescent="0.3">
      <c r="K25" s="2"/>
      <c r="L25" s="2"/>
      <c r="M25" s="2"/>
    </row>
    <row r="26" spans="1:13" x14ac:dyDescent="0.3">
      <c r="K26" s="2"/>
      <c r="L26" s="2"/>
      <c r="M26" s="2"/>
    </row>
    <row r="27" spans="1:13" x14ac:dyDescent="0.3">
      <c r="K27" s="2"/>
      <c r="L27" s="2"/>
      <c r="M2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Case</vt:lpstr>
      <vt:lpstr>Plate</vt:lpstr>
      <vt:lpstr>Materials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Brophy</dc:creator>
  <cp:lastModifiedBy>Hayden Brophy</cp:lastModifiedBy>
  <dcterms:created xsi:type="dcterms:W3CDTF">2025-08-26T07:05:45Z</dcterms:created>
  <dcterms:modified xsi:type="dcterms:W3CDTF">2025-09-02T07:54:24Z</dcterms:modified>
</cp:coreProperties>
</file>