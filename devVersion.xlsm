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ayden\Documents\GitHub\HB_Engineering\"/>
    </mc:Choice>
  </mc:AlternateContent>
  <xr:revisionPtr revIDLastSave="0" documentId="8_{A856C152-2C49-403C-A190-C46A4B0C1962}" xr6:coauthVersionLast="47" xr6:coauthVersionMax="47" xr10:uidLastSave="{00000000-0000-0000-0000-000000000000}"/>
  <bookViews>
    <workbookView xWindow="-108" yWindow="-108" windowWidth="20376" windowHeight="12096" xr2:uid="{D5BCCF01-CB01-4643-9441-73C2288BAB68}"/>
  </bookViews>
  <sheets>
    <sheet name="Case" sheetId="5" r:id="rId1"/>
    <sheet name="Materials" sheetId="2" r:id="rId2"/>
  </sheets>
  <definedNames>
    <definedName name="_xleta.PI" hidden="1" xlm="1">#NAME?</definedName>
    <definedName name="gam_12">#REF!</definedName>
    <definedName name="Nx">#REF!</definedName>
    <definedName name="Ny">#REF!</definedName>
    <definedName name="p">#REF!</definedName>
    <definedName name="sig_1">#REF!</definedName>
    <definedName name="sig_2">#REF!</definedName>
    <definedName name="solver_adj" localSheetId="0" hidden="1">Case!$F$9,Case!$F$11,Case!$F$13,Case!$F$15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Case!$F$11</definedName>
    <definedName name="solver_lhs10" localSheetId="0" hidden="1">Case!$G$15</definedName>
    <definedName name="solver_lhs11" localSheetId="0" hidden="1">Case!$G$9</definedName>
    <definedName name="solver_lhs12" localSheetId="0" hidden="1">Case!$G$9</definedName>
    <definedName name="solver_lhs13" localSheetId="0" hidden="1">Case!$F$15</definedName>
    <definedName name="solver_lhs14" localSheetId="0" hidden="1">Case!$F$11</definedName>
    <definedName name="solver_lhs15" localSheetId="0" hidden="1">Case!$F$9</definedName>
    <definedName name="solver_lhs16" localSheetId="0" hidden="1">Case!$F$9</definedName>
    <definedName name="solver_lhs2" localSheetId="0" hidden="1">Case!$F$13</definedName>
    <definedName name="solver_lhs3" localSheetId="0" hidden="1">Case!$F$15</definedName>
    <definedName name="solver_lhs4" localSheetId="0" hidden="1">Case!$F$9</definedName>
    <definedName name="solver_lhs5" localSheetId="0" hidden="1">Case!$G$11</definedName>
    <definedName name="solver_lhs6" localSheetId="0" hidden="1">Case!$G$11</definedName>
    <definedName name="solver_lhs7" localSheetId="0" hidden="1">Case!$G$13</definedName>
    <definedName name="solver_lhs8" localSheetId="0" hidden="1">Case!$G$13</definedName>
    <definedName name="solver_lhs9" localSheetId="0" hidden="1">Case!$G$15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12</definedName>
    <definedName name="solver_nwt" localSheetId="0" hidden="1">1</definedName>
    <definedName name="solver_opt" localSheetId="0" hidden="1">Case!$J$27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1</definedName>
    <definedName name="solver_rel12" localSheetId="0" hidden="1">3</definedName>
    <definedName name="solver_rel13" localSheetId="0" hidden="1">3</definedName>
    <definedName name="solver_rel14" localSheetId="0" hidden="1">1</definedName>
    <definedName name="solver_rel15" localSheetId="0" hidden="1">1</definedName>
    <definedName name="solver_rel16" localSheetId="0" hidden="1">3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89</definedName>
    <definedName name="solver_rhs10" localSheetId="0" hidden="1">0.2</definedName>
    <definedName name="solver_rhs11" localSheetId="0" hidden="1">0.6</definedName>
    <definedName name="solver_rhs12" localSheetId="0" hidden="1">0.2</definedName>
    <definedName name="solver_rhs13" localSheetId="0" hidden="1">Case!#REF!</definedName>
    <definedName name="solver_rhs14" localSheetId="0" hidden="1">Case!#REF!</definedName>
    <definedName name="solver_rhs15" localSheetId="0" hidden="1">Case!#REF!</definedName>
    <definedName name="solver_rhs16" localSheetId="0" hidden="1">Case!#REF!</definedName>
    <definedName name="solver_rhs2" localSheetId="0" hidden="1">89</definedName>
    <definedName name="solver_rhs3" localSheetId="0" hidden="1">89</definedName>
    <definedName name="solver_rhs4" localSheetId="0" hidden="1">89</definedName>
    <definedName name="solver_rhs5" localSheetId="0" hidden="1">0.6</definedName>
    <definedName name="solver_rhs6" localSheetId="0" hidden="1">0.2</definedName>
    <definedName name="solver_rhs7" localSheetId="0" hidden="1">0.6</definedName>
    <definedName name="solver_rhs8" localSheetId="0" hidden="1">0.2</definedName>
    <definedName name="solver_rhs9" localSheetId="0" hidden="1">0.6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totThk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5" l="1"/>
  <c r="F16" i="5"/>
  <c r="D76" i="5"/>
  <c r="B76" i="5" s="1"/>
  <c r="D72" i="5"/>
  <c r="B72" i="5" s="1"/>
  <c r="D68" i="5"/>
  <c r="B68" i="5" s="1"/>
  <c r="D64" i="5"/>
  <c r="B64" i="5" s="1"/>
  <c r="D60" i="5"/>
  <c r="B60" i="5" s="1"/>
  <c r="D56" i="5"/>
  <c r="B56" i="5" s="1"/>
  <c r="D52" i="5"/>
  <c r="B52" i="5" s="1"/>
  <c r="D48" i="5"/>
  <c r="B48" i="5" s="1"/>
  <c r="D44" i="5"/>
  <c r="B44" i="5" s="1"/>
  <c r="D40" i="5"/>
  <c r="B40" i="5" s="1"/>
  <c r="D36" i="5"/>
  <c r="B36" i="5" s="1"/>
  <c r="D32" i="5"/>
  <c r="B32" i="5" s="1"/>
  <c r="F10" i="5"/>
  <c r="B24" i="5"/>
  <c r="C6" i="2"/>
  <c r="AH77" i="5"/>
  <c r="AD77" i="5"/>
  <c r="AH73" i="5"/>
  <c r="AD73" i="5"/>
  <c r="AH69" i="5"/>
  <c r="AD69" i="5"/>
  <c r="AH65" i="5"/>
  <c r="AD65" i="5"/>
  <c r="AH61" i="5"/>
  <c r="AD61" i="5"/>
  <c r="AH53" i="5"/>
  <c r="AD53" i="5"/>
  <c r="AH57" i="5"/>
  <c r="AD57" i="5"/>
  <c r="AH45" i="5"/>
  <c r="AD45" i="5"/>
  <c r="AH49" i="5"/>
  <c r="AD49" i="5"/>
  <c r="AH41" i="5"/>
  <c r="AD41" i="5"/>
  <c r="AH37" i="5"/>
  <c r="AD37" i="5"/>
  <c r="C18" i="2"/>
  <c r="C9" i="2" l="1"/>
  <c r="C7" i="2"/>
  <c r="M32" i="5"/>
  <c r="C48" i="5" l="1"/>
  <c r="G16" i="5"/>
  <c r="G14" i="5"/>
  <c r="F14" i="5"/>
  <c r="G12" i="5"/>
  <c r="F12" i="5"/>
  <c r="G10" i="5"/>
  <c r="C36" i="5"/>
  <c r="C24" i="5"/>
  <c r="AB37" i="5" l="1"/>
  <c r="AA36" i="5"/>
  <c r="AC37" i="5"/>
  <c r="AA37" i="5"/>
  <c r="AC36" i="5"/>
  <c r="AB36" i="5"/>
  <c r="AC38" i="5"/>
  <c r="AB38" i="5"/>
  <c r="AA38" i="5"/>
  <c r="AB49" i="5"/>
  <c r="AC48" i="5"/>
  <c r="AC50" i="5"/>
  <c r="AA48" i="5"/>
  <c r="AB50" i="5"/>
  <c r="AA50" i="5"/>
  <c r="AC49" i="5"/>
  <c r="AA49" i="5"/>
  <c r="AB48" i="5"/>
  <c r="F52" i="5"/>
  <c r="F40" i="5"/>
  <c r="F60" i="5"/>
  <c r="C60" i="5"/>
  <c r="C52" i="5"/>
  <c r="C44" i="5"/>
  <c r="G20" i="5"/>
  <c r="F76" i="5" s="1"/>
  <c r="F68" i="5"/>
  <c r="F36" i="5"/>
  <c r="F20" i="5"/>
  <c r="C76" i="5" s="1"/>
  <c r="F18" i="5"/>
  <c r="C68" i="5" s="1"/>
  <c r="F72" i="5"/>
  <c r="F64" i="5"/>
  <c r="F32" i="5"/>
  <c r="C72" i="5"/>
  <c r="C64" i="5"/>
  <c r="C56" i="5"/>
  <c r="C40" i="5"/>
  <c r="C32" i="5"/>
  <c r="C95" i="5"/>
  <c r="AH33" i="5"/>
  <c r="AD33" i="5"/>
  <c r="S36" i="5" l="1" a="1"/>
  <c r="S36" i="5" s="1"/>
  <c r="AC34" i="5"/>
  <c r="AA34" i="5"/>
  <c r="AB34" i="5"/>
  <c r="AB32" i="5"/>
  <c r="AA32" i="5"/>
  <c r="AC33" i="5"/>
  <c r="AC32" i="5"/>
  <c r="AB33" i="5"/>
  <c r="AA33" i="5"/>
  <c r="AA77" i="5"/>
  <c r="AB77" i="5"/>
  <c r="AA78" i="5"/>
  <c r="AA76" i="5"/>
  <c r="AC78" i="5"/>
  <c r="AC77" i="5"/>
  <c r="AB76" i="5"/>
  <c r="AB78" i="5"/>
  <c r="AC76" i="5"/>
  <c r="AC74" i="5"/>
  <c r="AB74" i="5"/>
  <c r="AA74" i="5"/>
  <c r="AC72" i="5"/>
  <c r="AA73" i="5"/>
  <c r="AB72" i="5"/>
  <c r="AC73" i="5"/>
  <c r="AB73" i="5"/>
  <c r="AA72" i="5"/>
  <c r="AC69" i="5"/>
  <c r="AA70" i="5"/>
  <c r="AA68" i="5"/>
  <c r="AB69" i="5"/>
  <c r="AB68" i="5"/>
  <c r="AB70" i="5"/>
  <c r="AA69" i="5"/>
  <c r="AC68" i="5"/>
  <c r="AC70" i="5"/>
  <c r="AB65" i="5"/>
  <c r="AB66" i="5"/>
  <c r="AA65" i="5"/>
  <c r="AC65" i="5"/>
  <c r="AC64" i="5"/>
  <c r="AB64" i="5"/>
  <c r="AC66" i="5"/>
  <c r="AA66" i="5"/>
  <c r="AA64" i="5"/>
  <c r="AC60" i="5"/>
  <c r="AB60" i="5"/>
  <c r="AC62" i="5"/>
  <c r="AB62" i="5"/>
  <c r="AA62" i="5"/>
  <c r="AC61" i="5"/>
  <c r="AA61" i="5"/>
  <c r="AA60" i="5"/>
  <c r="AB61" i="5"/>
  <c r="AB56" i="5"/>
  <c r="AC58" i="5"/>
  <c r="AB58" i="5"/>
  <c r="AB57" i="5"/>
  <c r="AA57" i="5"/>
  <c r="AA56" i="5"/>
  <c r="AA58" i="5"/>
  <c r="AC57" i="5"/>
  <c r="AC56" i="5"/>
  <c r="AB52" i="5"/>
  <c r="AA54" i="5"/>
  <c r="AC53" i="5"/>
  <c r="AA53" i="5"/>
  <c r="AA52" i="5"/>
  <c r="AB54" i="5"/>
  <c r="AB53" i="5"/>
  <c r="AC52" i="5"/>
  <c r="AC54" i="5"/>
  <c r="S48" i="5" a="1"/>
  <c r="S48" i="5" s="1"/>
  <c r="AA41" i="5"/>
  <c r="AA42" i="5"/>
  <c r="AC40" i="5"/>
  <c r="AB40" i="5"/>
  <c r="AB42" i="5"/>
  <c r="AA40" i="5"/>
  <c r="AC42" i="5"/>
  <c r="AC41" i="5"/>
  <c r="AB41" i="5"/>
  <c r="AC46" i="5"/>
  <c r="AA46" i="5"/>
  <c r="AC44" i="5"/>
  <c r="AB46" i="5"/>
  <c r="AA45" i="5"/>
  <c r="AB44" i="5"/>
  <c r="AA44" i="5"/>
  <c r="AC45" i="5"/>
  <c r="AB45" i="5"/>
  <c r="P48" i="5"/>
  <c r="Y50" i="5" s="1"/>
  <c r="M50" i="5"/>
  <c r="N50" i="5"/>
  <c r="Q50" i="5"/>
  <c r="P50" i="5"/>
  <c r="O50" i="5"/>
  <c r="O44" i="5"/>
  <c r="Q46" i="5"/>
  <c r="O46" i="5"/>
  <c r="M46" i="5"/>
  <c r="P46" i="5"/>
  <c r="N46" i="5"/>
  <c r="M40" i="5"/>
  <c r="Q42" i="5"/>
  <c r="O42" i="5"/>
  <c r="N42" i="5"/>
  <c r="M42" i="5"/>
  <c r="P42" i="5"/>
  <c r="P36" i="5"/>
  <c r="Y38" i="5" s="1"/>
  <c r="Q38" i="5"/>
  <c r="O38" i="5"/>
  <c r="P38" i="5"/>
  <c r="M38" i="5"/>
  <c r="N38" i="5"/>
  <c r="N32" i="5"/>
  <c r="Q34" i="5"/>
  <c r="O34" i="5"/>
  <c r="M34" i="5"/>
  <c r="P34" i="5"/>
  <c r="N34" i="5"/>
  <c r="E76" i="5"/>
  <c r="G76" i="5" s="1"/>
  <c r="Q78" i="5"/>
  <c r="O78" i="5"/>
  <c r="M78" i="5"/>
  <c r="P78" i="5"/>
  <c r="N78" i="5"/>
  <c r="P72" i="5"/>
  <c r="Y74" i="5" s="1"/>
  <c r="O74" i="5"/>
  <c r="M74" i="5"/>
  <c r="P74" i="5"/>
  <c r="N74" i="5"/>
  <c r="Q74" i="5"/>
  <c r="O68" i="5"/>
  <c r="Q70" i="5"/>
  <c r="O70" i="5"/>
  <c r="P70" i="5"/>
  <c r="N70" i="5"/>
  <c r="M70" i="5"/>
  <c r="Q66" i="5"/>
  <c r="M66" i="5"/>
  <c r="P66" i="5"/>
  <c r="N66" i="5"/>
  <c r="O66" i="5"/>
  <c r="N52" i="5"/>
  <c r="Q54" i="5"/>
  <c r="N54" i="5"/>
  <c r="P54" i="5"/>
  <c r="M54" i="5"/>
  <c r="O54" i="5"/>
  <c r="O56" i="5"/>
  <c r="Q58" i="5"/>
  <c r="N58" i="5"/>
  <c r="P58" i="5"/>
  <c r="O58" i="5"/>
  <c r="M58" i="5"/>
  <c r="O60" i="5"/>
  <c r="Q62" i="5"/>
  <c r="P62" i="5"/>
  <c r="N62" i="5"/>
  <c r="O62" i="5"/>
  <c r="M62" i="5"/>
  <c r="P44" i="5"/>
  <c r="Y46" i="5" s="1"/>
  <c r="E48" i="5"/>
  <c r="M48" i="5"/>
  <c r="M36" i="5"/>
  <c r="M52" i="5"/>
  <c r="O52" i="5"/>
  <c r="P52" i="5"/>
  <c r="Y54" i="5" s="1"/>
  <c r="N36" i="5"/>
  <c r="E36" i="5"/>
  <c r="G36" i="5" s="1"/>
  <c r="E52" i="5"/>
  <c r="G52" i="5" s="1"/>
  <c r="O36" i="5"/>
  <c r="E44" i="5"/>
  <c r="M44" i="5"/>
  <c r="N44" i="5"/>
  <c r="O76" i="5"/>
  <c r="N76" i="5"/>
  <c r="M76" i="5"/>
  <c r="F44" i="5"/>
  <c r="F56" i="5"/>
  <c r="F48" i="5"/>
  <c r="P76" i="5"/>
  <c r="Y78" i="5" s="1"/>
  <c r="E60" i="5"/>
  <c r="G60" i="5" s="1"/>
  <c r="N60" i="5"/>
  <c r="M60" i="5"/>
  <c r="P56" i="5"/>
  <c r="Y58" i="5" s="1"/>
  <c r="P60" i="5"/>
  <c r="Y62" i="5" s="1"/>
  <c r="M56" i="5"/>
  <c r="N56" i="5"/>
  <c r="E56" i="5"/>
  <c r="E68" i="5"/>
  <c r="G68" i="5" s="1"/>
  <c r="P68" i="5"/>
  <c r="Y70" i="5" s="1"/>
  <c r="M68" i="5"/>
  <c r="N68" i="5"/>
  <c r="M72" i="5"/>
  <c r="E72" i="5"/>
  <c r="G72" i="5" s="1"/>
  <c r="N72" i="5"/>
  <c r="O72" i="5"/>
  <c r="M64" i="5"/>
  <c r="E64" i="5"/>
  <c r="G64" i="5" s="1"/>
  <c r="N64" i="5"/>
  <c r="O64" i="5"/>
  <c r="P64" i="5"/>
  <c r="Y66" i="5" s="1"/>
  <c r="O32" i="5"/>
  <c r="N48" i="5"/>
  <c r="P32" i="5"/>
  <c r="Y34" i="5" s="1"/>
  <c r="O48" i="5"/>
  <c r="E32" i="5"/>
  <c r="G32" i="5" s="1"/>
  <c r="N40" i="5"/>
  <c r="O40" i="5"/>
  <c r="E40" i="5"/>
  <c r="G40" i="5" s="1"/>
  <c r="P40" i="5"/>
  <c r="Y42" i="5" s="1"/>
  <c r="G44" i="5" l="1"/>
  <c r="S32" i="5" a="1"/>
  <c r="S32" i="5" s="1"/>
  <c r="S68" i="5" a="1"/>
  <c r="S68" i="5" s="1"/>
  <c r="S76" i="5" a="1"/>
  <c r="S76" i="5" s="1"/>
  <c r="S72" i="5" a="1"/>
  <c r="S72" i="5" s="1"/>
  <c r="S64" i="5" a="1"/>
  <c r="S64" i="5" s="1"/>
  <c r="S56" i="5" a="1"/>
  <c r="S56" i="5" s="1"/>
  <c r="S60" i="5" a="1"/>
  <c r="S60" i="5" s="1"/>
  <c r="S52" i="5" a="1"/>
  <c r="S52" i="5" s="1"/>
  <c r="S44" i="5" a="1"/>
  <c r="S44" i="5" s="1"/>
  <c r="S40" i="5" a="1"/>
  <c r="S40" i="5" s="1"/>
  <c r="Q36" i="5"/>
  <c r="G48" i="5"/>
  <c r="Q52" i="5"/>
  <c r="W52" i="5" s="1"/>
  <c r="Q44" i="5"/>
  <c r="W44" i="5" s="1"/>
  <c r="Q76" i="5"/>
  <c r="Q56" i="5"/>
  <c r="G56" i="5"/>
  <c r="Q60" i="5"/>
  <c r="W60" i="5" s="1"/>
  <c r="Q48" i="5"/>
  <c r="W48" i="5" s="1"/>
  <c r="Q32" i="5"/>
  <c r="Q40" i="5"/>
  <c r="Q72" i="5"/>
  <c r="Q68" i="5"/>
  <c r="W68" i="5" s="1"/>
  <c r="Q64" i="5"/>
  <c r="B86" i="5"/>
  <c r="H24" i="5" s="1"/>
  <c r="X36" i="5" l="1"/>
  <c r="W37" i="5"/>
  <c r="X37" i="5"/>
  <c r="X72" i="5"/>
  <c r="W73" i="5"/>
  <c r="X73" i="5"/>
  <c r="W36" i="5"/>
  <c r="X40" i="5"/>
  <c r="X41" i="5"/>
  <c r="W41" i="5"/>
  <c r="X60" i="5"/>
  <c r="W61" i="5"/>
  <c r="X61" i="5"/>
  <c r="X56" i="5"/>
  <c r="W57" i="5"/>
  <c r="X57" i="5"/>
  <c r="X76" i="5"/>
  <c r="X77" i="5"/>
  <c r="W77" i="5"/>
  <c r="X44" i="5"/>
  <c r="W45" i="5"/>
  <c r="X45" i="5"/>
  <c r="X48" i="5"/>
  <c r="W49" i="5"/>
  <c r="X49" i="5"/>
  <c r="X52" i="5"/>
  <c r="X53" i="5"/>
  <c r="W53" i="5"/>
  <c r="W76" i="5"/>
  <c r="X64" i="5"/>
  <c r="AE64" i="5" s="1" a="1"/>
  <c r="AE64" i="5" s="1"/>
  <c r="W65" i="5"/>
  <c r="X65" i="5"/>
  <c r="X68" i="5"/>
  <c r="X69" i="5"/>
  <c r="W69" i="5"/>
  <c r="W40" i="5"/>
  <c r="W56" i="5"/>
  <c r="W72" i="5"/>
  <c r="W64" i="5"/>
  <c r="C86" i="5"/>
  <c r="W33" i="5"/>
  <c r="X32" i="5"/>
  <c r="X33" i="5"/>
  <c r="W32" i="5"/>
  <c r="AE32" i="5" s="1" a="1"/>
  <c r="AE32" i="5" s="1"/>
  <c r="AE40" i="5" l="1" a="1"/>
  <c r="AE40" i="5" s="1"/>
  <c r="AI40" i="5" s="1" a="1"/>
  <c r="AI40" i="5" s="1"/>
  <c r="AE52" i="5" a="1"/>
  <c r="AE52" i="5" s="1"/>
  <c r="AI52" i="5" s="1" a="1"/>
  <c r="AI52" i="5" s="1"/>
  <c r="AE72" i="5" a="1"/>
  <c r="AE72" i="5" s="1"/>
  <c r="AI72" i="5" s="1" a="1"/>
  <c r="AE48" i="5" a="1"/>
  <c r="AE48" i="5" s="1"/>
  <c r="AI48" i="5" s="1" a="1"/>
  <c r="AI48" i="5" s="1"/>
  <c r="AE56" i="5" a="1"/>
  <c r="AE56" i="5" s="1"/>
  <c r="AI56" i="5" s="1" a="1"/>
  <c r="AI56" i="5" s="1"/>
  <c r="AE44" i="5" a="1"/>
  <c r="AE44" i="5" s="1"/>
  <c r="AI44" i="5" s="1" a="1"/>
  <c r="AI44" i="5" s="1"/>
  <c r="AE68" i="5" a="1"/>
  <c r="AE68" i="5" s="1"/>
  <c r="AI68" i="5" s="1" a="1"/>
  <c r="AI68" i="5" s="1"/>
  <c r="AE60" i="5" a="1"/>
  <c r="AE60" i="5" s="1"/>
  <c r="AI60" i="5" s="1" a="1"/>
  <c r="AI60" i="5" s="1"/>
  <c r="AE36" i="5" a="1"/>
  <c r="AE36" i="5" s="1"/>
  <c r="AI36" i="5" s="1" a="1"/>
  <c r="AI36" i="5" s="1"/>
  <c r="AE76" i="5" a="1"/>
  <c r="AE76" i="5" s="1"/>
  <c r="AI76" i="5" s="1" a="1"/>
  <c r="AI76" i="5" s="1"/>
  <c r="AI64" i="5" a="1"/>
  <c r="AI64" i="5" s="1"/>
  <c r="AI32" i="5" a="1"/>
  <c r="AI32" i="5" s="1"/>
  <c r="AI72" i="5" l="1"/>
  <c r="B89" i="5" s="1"/>
  <c r="C90" i="5"/>
  <c r="B91" i="5"/>
  <c r="D91" i="5"/>
  <c r="C89" i="5"/>
  <c r="B90" i="5"/>
  <c r="D90" i="5"/>
  <c r="C91" i="5"/>
  <c r="D89" i="5"/>
  <c r="J86" i="5" l="1"/>
  <c r="H27" i="5"/>
  <c r="C94" i="5" l="1"/>
  <c r="J88" i="5"/>
  <c r="J89" i="5" s="1"/>
  <c r="J90" i="5" s="1"/>
  <c r="J91" i="5" s="1"/>
  <c r="J87" i="5"/>
  <c r="C27" i="5"/>
  <c r="B27" i="5" l="1"/>
  <c r="J92" i="5"/>
  <c r="J93" i="5" s="1"/>
  <c r="J94" i="5" l="1"/>
  <c r="J95" i="5" s="1"/>
  <c r="J96" i="5" l="1"/>
  <c r="J97" i="5" s="1"/>
  <c r="J98" i="5" l="1"/>
  <c r="J99" i="5" s="1"/>
  <c r="J100" i="5" l="1"/>
  <c r="J101" i="5" l="1"/>
  <c r="J102" i="5" s="1"/>
  <c r="J103" i="5" s="1"/>
  <c r="J104" i="5" s="1"/>
  <c r="J105" i="5" s="1"/>
  <c r="J106" i="5" s="1"/>
  <c r="J107" i="5" s="1"/>
  <c r="J108" i="5" l="1"/>
  <c r="J109" i="5" l="1"/>
  <c r="J110" i="5" s="1"/>
  <c r="J111" i="5" s="1"/>
  <c r="E89" i="5" l="1" a="1"/>
  <c r="E89" i="5" l="1"/>
  <c r="G86" i="5"/>
  <c r="E86" i="5"/>
  <c r="J24" i="5" s="1"/>
  <c r="F86" i="5" l="1"/>
  <c r="I27" i="5" s="1"/>
  <c r="F94" i="5" a="1"/>
  <c r="F94" i="5" s="1"/>
  <c r="D86" i="5"/>
  <c r="I24" i="5" s="1"/>
  <c r="F24" i="5" l="1"/>
  <c r="E24" i="5"/>
  <c r="F27" i="5" l="1"/>
  <c r="F29" i="5" s="1"/>
  <c r="AM48" i="5" a="1"/>
  <c r="AM68" i="5" a="1"/>
  <c r="AM52" i="5" a="1"/>
  <c r="AM72" i="5" a="1"/>
  <c r="AM40" i="5" a="1"/>
  <c r="AM60" i="5" a="1"/>
  <c r="AM32" i="5" a="1"/>
  <c r="AM36" i="5" a="1"/>
  <c r="AM56" i="5" a="1"/>
  <c r="AM76" i="5" a="1"/>
  <c r="AM64" i="5" a="1"/>
  <c r="AM44" i="5" a="1"/>
  <c r="E27" i="5" l="1"/>
  <c r="AM72" i="5"/>
  <c r="K74" i="5"/>
  <c r="J74" i="5"/>
  <c r="J19" i="5" s="1"/>
  <c r="AM52" i="5"/>
  <c r="K54" i="5"/>
  <c r="J54" i="5"/>
  <c r="J14" i="5" s="1"/>
  <c r="AM64" i="5"/>
  <c r="J66" i="5"/>
  <c r="J17" i="5" s="1"/>
  <c r="K66" i="5"/>
  <c r="AM36" i="5"/>
  <c r="K38" i="5"/>
  <c r="J38" i="5"/>
  <c r="J10" i="5" s="1"/>
  <c r="AM40" i="5"/>
  <c r="K42" i="5"/>
  <c r="J42" i="5"/>
  <c r="J11" i="5" s="1"/>
  <c r="AM68" i="5"/>
  <c r="K70" i="5"/>
  <c r="J70" i="5"/>
  <c r="J18" i="5" s="1"/>
  <c r="AM44" i="5"/>
  <c r="K46" i="5"/>
  <c r="J46" i="5"/>
  <c r="J12" i="5" s="1"/>
  <c r="AM76" i="5"/>
  <c r="K78" i="5"/>
  <c r="J78" i="5"/>
  <c r="J20" i="5" s="1"/>
  <c r="AM56" i="5"/>
  <c r="J58" i="5"/>
  <c r="J15" i="5" s="1"/>
  <c r="K58" i="5"/>
  <c r="AM32" i="5"/>
  <c r="K34" i="5"/>
  <c r="J34" i="5"/>
  <c r="J9" i="5" s="1"/>
  <c r="AM60" i="5"/>
  <c r="K62" i="5"/>
  <c r="J62" i="5"/>
  <c r="J16" i="5" s="1"/>
  <c r="AM48" i="5"/>
  <c r="K50" i="5"/>
  <c r="J50" i="5"/>
  <c r="J13" i="5" s="1"/>
  <c r="E29" i="5" l="1"/>
  <c r="J27" i="5" s="1"/>
  <c r="I42" i="5"/>
  <c r="I11" i="5" s="1"/>
  <c r="AO40" i="5" a="1"/>
  <c r="I34" i="5"/>
  <c r="I9" i="5" s="1"/>
  <c r="AO32" i="5" a="1"/>
  <c r="I38" i="5"/>
  <c r="I10" i="5" s="1"/>
  <c r="AO36" i="5" a="1"/>
  <c r="AO56" i="5" a="1"/>
  <c r="I58" i="5"/>
  <c r="I15" i="5" s="1"/>
  <c r="I78" i="5"/>
  <c r="I20" i="5" s="1"/>
  <c r="AO76" i="5" a="1"/>
  <c r="AO44" i="5" a="1"/>
  <c r="I46" i="5"/>
  <c r="I12" i="5" s="1"/>
  <c r="I54" i="5"/>
  <c r="I14" i="5" s="1"/>
  <c r="AO52" i="5" a="1"/>
  <c r="I70" i="5"/>
  <c r="I18" i="5" s="1"/>
  <c r="AO68" i="5" a="1"/>
  <c r="I62" i="5"/>
  <c r="I16" i="5" s="1"/>
  <c r="AO60" i="5" a="1"/>
  <c r="I66" i="5"/>
  <c r="I17" i="5" s="1"/>
  <c r="AO64" i="5" a="1"/>
  <c r="AO48" i="5" a="1"/>
  <c r="I50" i="5"/>
  <c r="I13" i="5" s="1"/>
  <c r="I74" i="5"/>
  <c r="I19" i="5" s="1"/>
  <c r="AO72" i="5" a="1"/>
  <c r="AO44" i="5" l="1"/>
  <c r="I44" i="5" s="1"/>
  <c r="K44" i="5"/>
  <c r="J44" i="5"/>
  <c r="AO36" i="5"/>
  <c r="I36" i="5" s="1"/>
  <c r="J36" i="5"/>
  <c r="K36" i="5"/>
  <c r="AO52" i="5"/>
  <c r="I52" i="5" s="1"/>
  <c r="K52" i="5"/>
  <c r="J52" i="5"/>
  <c r="AO72" i="5"/>
  <c r="I72" i="5" s="1"/>
  <c r="J72" i="5"/>
  <c r="K72" i="5"/>
  <c r="AO48" i="5"/>
  <c r="I48" i="5" s="1"/>
  <c r="K48" i="5"/>
  <c r="J48" i="5"/>
  <c r="AO64" i="5"/>
  <c r="I64" i="5" s="1"/>
  <c r="J64" i="5"/>
  <c r="K64" i="5"/>
  <c r="AO60" i="5"/>
  <c r="I60" i="5" s="1"/>
  <c r="J60" i="5"/>
  <c r="K60" i="5"/>
  <c r="AO40" i="5"/>
  <c r="I40" i="5" s="1"/>
  <c r="L11" i="5" s="1"/>
  <c r="K40" i="5"/>
  <c r="J40" i="5"/>
  <c r="AO76" i="5"/>
  <c r="I76" i="5" s="1"/>
  <c r="K76" i="5"/>
  <c r="J76" i="5"/>
  <c r="AO56" i="5"/>
  <c r="I56" i="5" s="1"/>
  <c r="J56" i="5"/>
  <c r="K56" i="5"/>
  <c r="AO32" i="5"/>
  <c r="I32" i="5" s="1"/>
  <c r="J32" i="5"/>
  <c r="K32" i="5"/>
  <c r="AO68" i="5"/>
  <c r="I68" i="5" s="1"/>
  <c r="K68" i="5"/>
  <c r="J68" i="5"/>
  <c r="M15" i="5" l="1"/>
  <c r="Q15" i="5" s="1"/>
  <c r="L100" i="5"/>
  <c r="L99" i="5"/>
  <c r="K104" i="5"/>
  <c r="K103" i="5"/>
  <c r="L17" i="5"/>
  <c r="P17" i="5" s="1"/>
  <c r="M13" i="5"/>
  <c r="Q13" i="5" s="1"/>
  <c r="L95" i="5"/>
  <c r="L96" i="5"/>
  <c r="L108" i="5"/>
  <c r="L107" i="5"/>
  <c r="M19" i="5"/>
  <c r="Q19" i="5" s="1"/>
  <c r="K109" i="5"/>
  <c r="L20" i="5"/>
  <c r="K110" i="5"/>
  <c r="M14" i="5"/>
  <c r="Q14" i="5" s="1"/>
  <c r="L98" i="5"/>
  <c r="L97" i="5"/>
  <c r="L92" i="5"/>
  <c r="M11" i="5"/>
  <c r="Q11" i="5" s="1"/>
  <c r="L91" i="5"/>
  <c r="M18" i="5"/>
  <c r="Q18" i="5" s="1"/>
  <c r="L105" i="5"/>
  <c r="L106" i="5"/>
  <c r="L14" i="5"/>
  <c r="K97" i="5"/>
  <c r="K98" i="5"/>
  <c r="P11" i="5"/>
  <c r="K106" i="5"/>
  <c r="L18" i="5"/>
  <c r="P18" i="5" s="1"/>
  <c r="K105" i="5"/>
  <c r="M16" i="5"/>
  <c r="Q16" i="5" s="1"/>
  <c r="L102" i="5"/>
  <c r="L101" i="5"/>
  <c r="L10" i="5"/>
  <c r="K89" i="5"/>
  <c r="K90" i="5"/>
  <c r="K100" i="5"/>
  <c r="K99" i="5"/>
  <c r="L15" i="5"/>
  <c r="K95" i="5"/>
  <c r="L13" i="5"/>
  <c r="K96" i="5"/>
  <c r="L110" i="5"/>
  <c r="M20" i="5"/>
  <c r="Q20" i="5" s="1"/>
  <c r="L109" i="5"/>
  <c r="K107" i="5"/>
  <c r="K108" i="5"/>
  <c r="L19" i="5"/>
  <c r="L89" i="5"/>
  <c r="L90" i="5"/>
  <c r="M10" i="5"/>
  <c r="Q10" i="5" s="1"/>
  <c r="M9" i="5"/>
  <c r="Q9" i="5" s="1"/>
  <c r="L88" i="5"/>
  <c r="L87" i="5"/>
  <c r="K102" i="5"/>
  <c r="K101" i="5"/>
  <c r="L16" i="5"/>
  <c r="L93" i="5"/>
  <c r="M12" i="5"/>
  <c r="Q12" i="5" s="1"/>
  <c r="L94" i="5"/>
  <c r="K87" i="5"/>
  <c r="L9" i="5"/>
  <c r="K88" i="5"/>
  <c r="L103" i="5"/>
  <c r="M17" i="5"/>
  <c r="Q17" i="5" s="1"/>
  <c r="L104" i="5"/>
  <c r="K92" i="5"/>
  <c r="K94" i="5"/>
  <c r="L12" i="5"/>
  <c r="K93" i="5"/>
  <c r="K91" i="5"/>
  <c r="O11" i="5" l="1"/>
  <c r="O18" i="5"/>
  <c r="O12" i="5"/>
  <c r="P12" i="5"/>
  <c r="P9" i="5"/>
  <c r="O9" i="5"/>
  <c r="P20" i="5"/>
  <c r="O20" i="5"/>
  <c r="O13" i="5"/>
  <c r="P13" i="5"/>
  <c r="O17" i="5"/>
  <c r="O19" i="5"/>
  <c r="P19" i="5"/>
  <c r="O16" i="5"/>
  <c r="P16" i="5"/>
  <c r="O15" i="5"/>
  <c r="P15" i="5"/>
  <c r="P14" i="5"/>
  <c r="O14" i="5"/>
  <c r="P10" i="5"/>
  <c r="O10" i="5"/>
  <c r="O24" i="5" l="1" a="1"/>
  <c r="O24" i="5" s="1"/>
  <c r="P24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<sst xmlns="http://schemas.openxmlformats.org/spreadsheetml/2006/main" count="183" uniqueCount="112">
  <si>
    <t>Material ID</t>
  </si>
  <si>
    <t>Thickness</t>
  </si>
  <si>
    <t>Material Name</t>
  </si>
  <si>
    <t>T700S/UF3325</t>
  </si>
  <si>
    <t>T1100S/UF3376</t>
  </si>
  <si>
    <t>T1100S/UF3325</t>
  </si>
  <si>
    <t>IM7/8552</t>
  </si>
  <si>
    <t>IM10/UF3376</t>
  </si>
  <si>
    <t>E-1</t>
  </si>
  <si>
    <t>E-2</t>
  </si>
  <si>
    <t>nu-12</t>
  </si>
  <si>
    <t>G-12</t>
  </si>
  <si>
    <t>[psi]</t>
  </si>
  <si>
    <t>Layer ID</t>
  </si>
  <si>
    <t>Pressure</t>
  </si>
  <si>
    <t>[in]</t>
  </si>
  <si>
    <t>Author: Hayden Brophy</t>
  </si>
  <si>
    <t>Overlap</t>
  </si>
  <si>
    <t>Ply Thickness</t>
  </si>
  <si>
    <t>Layer Thickness</t>
  </si>
  <si>
    <t>G12</t>
  </si>
  <si>
    <t>nu12</t>
  </si>
  <si>
    <t>E1</t>
  </si>
  <si>
    <t>E2</t>
  </si>
  <si>
    <t>nu21</t>
  </si>
  <si>
    <t>Wind Angle</t>
  </si>
  <si>
    <t>[Q]</t>
  </si>
  <si>
    <t>[Q-bar]</t>
  </si>
  <si>
    <t>[A]</t>
  </si>
  <si>
    <t>x</t>
  </si>
  <si>
    <t>Type</t>
  </si>
  <si>
    <t>inv[A]</t>
  </si>
  <si>
    <t>E_x</t>
  </si>
  <si>
    <t>E_y</t>
  </si>
  <si>
    <t>nu_xy</t>
  </si>
  <si>
    <t>G_xy</t>
  </si>
  <si>
    <t>[Traction]</t>
  </si>
  <si>
    <t>[Strain]</t>
  </si>
  <si>
    <t>IM7/CTD133</t>
  </si>
  <si>
    <t>(x10^-3) [in]</t>
  </si>
  <si>
    <t>NULL</t>
  </si>
  <si>
    <t>Laminate Calculations</t>
  </si>
  <si>
    <t>[lbf/in]</t>
  </si>
  <si>
    <t>E_axial</t>
  </si>
  <si>
    <t>E_hoop</t>
  </si>
  <si>
    <t>Laminae Details</t>
  </si>
  <si>
    <t>Layup Input</t>
  </si>
  <si>
    <t>Loading Input</t>
  </si>
  <si>
    <t>Geometry Input</t>
  </si>
  <si>
    <t>Def_eff</t>
  </si>
  <si>
    <t>[Local Strain]</t>
  </si>
  <si>
    <t>[Local Stress]</t>
  </si>
  <si>
    <t>sig1</t>
  </si>
  <si>
    <t>sig2</t>
  </si>
  <si>
    <t>tau12</t>
  </si>
  <si>
    <t>eps1</t>
  </si>
  <si>
    <t>eps2</t>
  </si>
  <si>
    <t>gam12</t>
  </si>
  <si>
    <t>Ply Strain</t>
  </si>
  <si>
    <t>Ply Stress</t>
  </si>
  <si>
    <t>Tsai-Hill</t>
  </si>
  <si>
    <t>S1</t>
  </si>
  <si>
    <t>S2</t>
  </si>
  <si>
    <t>S12</t>
  </si>
  <si>
    <t>Fiber</t>
  </si>
  <si>
    <t>Hashin</t>
  </si>
  <si>
    <t>Matrix</t>
  </si>
  <si>
    <t>Min FOS</t>
  </si>
  <si>
    <t>Failure Summary</t>
  </si>
  <si>
    <t>Thru-thickness Stress</t>
  </si>
  <si>
    <t>Z-pos</t>
  </si>
  <si>
    <t>First Ply Failure</t>
  </si>
  <si>
    <t>[T]</t>
  </si>
  <si>
    <t>[T]^-1</t>
  </si>
  <si>
    <t>Hoop Stress</t>
  </si>
  <si>
    <t>Axial Stress</t>
  </si>
  <si>
    <t>Axial Traction</t>
  </si>
  <si>
    <t>Hoop Traction</t>
  </si>
  <si>
    <t>Throat Diameter</t>
  </si>
  <si>
    <t>Case Diameter</t>
  </si>
  <si>
    <t>HYDRO</t>
  </si>
  <si>
    <t>Material</t>
  </si>
  <si>
    <t>Axial Strain</t>
  </si>
  <si>
    <t>Hoop Strain</t>
  </si>
  <si>
    <t>Axial Def</t>
  </si>
  <si>
    <t>Radial Def</t>
  </si>
  <si>
    <t>Strain Summary</t>
  </si>
  <si>
    <t>Stress Summary</t>
  </si>
  <si>
    <t>Laminate Properties</t>
  </si>
  <si>
    <t xml:space="preserve">Length </t>
  </si>
  <si>
    <t>Failure Criteria</t>
  </si>
  <si>
    <t xml:space="preserve"> Material</t>
  </si>
  <si>
    <t>RPL Materials</t>
  </si>
  <si>
    <t>T700</t>
  </si>
  <si>
    <t>12k/2510</t>
  </si>
  <si>
    <t>FTU-1</t>
  </si>
  <si>
    <t>FTU-2</t>
  </si>
  <si>
    <t>FCU-1</t>
  </si>
  <si>
    <t>FCU-2</t>
  </si>
  <si>
    <t>FSU-12</t>
  </si>
  <si>
    <t>IM7</t>
  </si>
  <si>
    <t>12k/977</t>
  </si>
  <si>
    <t>AS4</t>
  </si>
  <si>
    <t>IM6</t>
  </si>
  <si>
    <t>12k/APC-2</t>
  </si>
  <si>
    <t>E-glass</t>
  </si>
  <si>
    <t>EA9396</t>
  </si>
  <si>
    <t>(fabric)</t>
  </si>
  <si>
    <t>M46J</t>
  </si>
  <si>
    <t>12k/2511</t>
  </si>
  <si>
    <t>CMH-17</t>
  </si>
  <si>
    <t>Laminate Case Designer (v0.2)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</si>
</sst>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7" formatCode="0.0000"/>
    <numFmt numFmtId="168" formatCode="0.0E+00"/>
    <numFmt numFmtId="180" formatCode="\+0;\-0;0\ "/>
  </numFmts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i/>
      <sz val="11"/>
      <color theme="1"/>
      <name val="D-DIN"/>
    </font>
    <font>
      <i/>
      <sz val="11"/>
      <color theme="1"/>
      <name val="D-DIN"/>
    </font>
    <font>
      <sz val="11"/>
      <color theme="1"/>
      <name val="D-DIN"/>
    </font>
    <font>
      <i/>
      <sz val="11"/>
      <color rgb="FF7F7F7F"/>
      <name val="D-DIN"/>
    </font>
    <font>
      <b/>
      <u/>
      <sz val="11"/>
      <color theme="10"/>
      <name val="D-DIN"/>
    </font>
    <font>
      <sz val="11"/>
      <color rgb="FF3F3F76"/>
      <name val="D-DIN"/>
    </font>
    <font>
      <b/>
      <sz val="11"/>
      <color rgb="FFFA7D00"/>
      <name val="D-DIN"/>
    </font>
    <font>
      <b/>
      <sz val="11"/>
      <color rgb="FF3F3F3F"/>
      <name val="D-DIN"/>
    </font>
    <font>
      <sz val="7"/>
      <color theme="1"/>
      <name val="D-DIN"/>
    </font>
    <font>
      <b/>
      <sz val="11"/>
      <color theme="1"/>
      <name val="D-DIN"/>
    </font>
    <font>
      <sz val="11"/>
      <color theme="0"/>
      <name val="D-DIN"/>
    </font>
    <font>
      <b/>
      <sz val="11"/>
      <color theme="0"/>
      <name val="D-DIN"/>
    </font>
    <font>
      <b/>
      <i/>
      <sz val="25"/>
      <color theme="0"/>
      <name val="D-DIN"/>
    </font>
    <font>
      <sz val="8"/>
      <name val="Aptos Narrow"/>
      <family val="2"/>
      <scheme val="minor"/>
    </font>
    <font>
      <sz val="11"/>
      <color rgb="FF3F3F3F"/>
      <name val="D-DIN"/>
    </font>
    <font>
      <sz val="8"/>
      <color theme="0"/>
      <name val="D-DIN"/>
    </font>
    <font>
      <i/>
      <sz val="11"/>
      <color theme="0"/>
      <name val="D-DIN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9">
    <xf numFmtId="0" fontId="0" fillId="0" borderId="0"/>
    <xf numFmtId="0" fontId="2" fillId="2" borderId="1" applyNumberFormat="0" applyAlignment="0" applyProtection="0"/>
    <xf numFmtId="0" fontId="4" fillId="3" borderId="2" applyNumberFormat="0" applyAlignment="0" applyProtection="0"/>
    <xf numFmtId="0" fontId="3" fillId="3" borderId="1" applyNumberFormat="0" applyAlignment="0" applyProtection="0"/>
    <xf numFmtId="0" fontId="1" fillId="4" borderId="3" applyNumberFormat="0" applyFont="0" applyAlignment="0" applyProtection="0"/>
    <xf numFmtId="0" fontId="5" fillId="0" borderId="4" applyNumberFormat="0" applyFill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2">
    <xf numFmtId="0" fontId="0" fillId="0" borderId="0" xfId="0"/>
    <xf numFmtId="0" fontId="2" fillId="2" borderId="1" xfId="1" applyAlignment="1">
      <alignment horizontal="center"/>
    </xf>
    <xf numFmtId="11" fontId="0" fillId="0" borderId="0" xfId="0" applyNumberFormat="1"/>
    <xf numFmtId="0" fontId="0" fillId="0" borderId="0" xfId="0" applyAlignment="1">
      <alignment horizontal="center"/>
    </xf>
    <xf numFmtId="164" fontId="4" fillId="3" borderId="2" xfId="2" applyNumberFormat="1" applyAlignment="1">
      <alignment horizontal="center"/>
    </xf>
    <xf numFmtId="1" fontId="4" fillId="3" borderId="2" xfId="2" applyNumberFormat="1" applyAlignment="1">
      <alignment horizontal="center"/>
    </xf>
    <xf numFmtId="11" fontId="4" fillId="3" borderId="2" xfId="2" applyNumberFormat="1" applyAlignment="1">
      <alignment horizontal="center"/>
    </xf>
    <xf numFmtId="2" fontId="4" fillId="3" borderId="2" xfId="2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7" fontId="0" fillId="0" borderId="0" xfId="0" applyNumberFormat="1"/>
    <xf numFmtId="167" fontId="4" fillId="3" borderId="2" xfId="2" applyNumberFormat="1" applyAlignment="1">
      <alignment horizontal="center"/>
    </xf>
    <xf numFmtId="0" fontId="9" fillId="0" borderId="6" xfId="0" applyFont="1" applyBorder="1"/>
    <xf numFmtId="0" fontId="10" fillId="0" borderId="6" xfId="0" applyFont="1" applyBorder="1"/>
    <xf numFmtId="0" fontId="11" fillId="0" borderId="6" xfId="6" applyFont="1" applyBorder="1"/>
    <xf numFmtId="0" fontId="12" fillId="0" borderId="6" xfId="7" applyFont="1" applyBorder="1" applyAlignment="1">
      <alignment horizontal="center"/>
    </xf>
    <xf numFmtId="0" fontId="12" fillId="0" borderId="6" xfId="7" applyFont="1" applyBorder="1" applyAlignment="1"/>
    <xf numFmtId="1" fontId="10" fillId="0" borderId="6" xfId="0" applyNumberFormat="1" applyFont="1" applyBorder="1"/>
    <xf numFmtId="164" fontId="10" fillId="0" borderId="6" xfId="0" applyNumberFormat="1" applyFont="1" applyBorder="1"/>
    <xf numFmtId="0" fontId="11" fillId="0" borderId="6" xfId="6" applyFont="1" applyBorder="1" applyAlignment="1">
      <alignment horizontal="center" vertical="center"/>
    </xf>
    <xf numFmtId="9" fontId="10" fillId="0" borderId="6" xfId="8" applyFont="1" applyBorder="1"/>
    <xf numFmtId="1" fontId="13" fillId="2" borderId="6" xfId="1" applyNumberFormat="1" applyFont="1" applyBorder="1" applyAlignment="1">
      <alignment horizontal="center"/>
    </xf>
    <xf numFmtId="0" fontId="16" fillId="0" borderId="6" xfId="0" applyFont="1" applyBorder="1" applyAlignment="1">
      <alignment horizontal="center" vertical="top"/>
    </xf>
    <xf numFmtId="0" fontId="10" fillId="0" borderId="6" xfId="0" applyFont="1" applyBorder="1" applyAlignment="1">
      <alignment horizontal="center"/>
    </xf>
    <xf numFmtId="0" fontId="11" fillId="0" borderId="6" xfId="6" applyFont="1" applyBorder="1" applyAlignment="1">
      <alignment horizontal="center"/>
    </xf>
    <xf numFmtId="0" fontId="11" fillId="0" borderId="6" xfId="6" applyFont="1" applyBorder="1" applyAlignment="1">
      <alignment horizontal="left" vertical="center"/>
    </xf>
    <xf numFmtId="9" fontId="11" fillId="0" borderId="6" xfId="8" applyFont="1" applyBorder="1" applyAlignment="1">
      <alignment horizontal="center" vertical="center"/>
    </xf>
    <xf numFmtId="9" fontId="13" fillId="2" borderId="6" xfId="1" applyNumberFormat="1" applyFont="1" applyBorder="1" applyAlignment="1">
      <alignment horizontal="center"/>
    </xf>
    <xf numFmtId="2" fontId="15" fillId="3" borderId="6" xfId="2" applyNumberFormat="1" applyFont="1" applyBorder="1" applyAlignment="1">
      <alignment horizontal="center"/>
    </xf>
    <xf numFmtId="1" fontId="15" fillId="3" borderId="6" xfId="2" applyNumberFormat="1" applyFont="1" applyBorder="1" applyAlignment="1">
      <alignment horizontal="center"/>
    </xf>
    <xf numFmtId="0" fontId="11" fillId="0" borderId="6" xfId="6" applyFont="1" applyBorder="1" applyAlignment="1">
      <alignment horizontal="center"/>
    </xf>
    <xf numFmtId="1" fontId="15" fillId="3" borderId="6" xfId="2" applyNumberFormat="1" applyFont="1" applyBorder="1" applyAlignment="1">
      <alignment horizontal="center"/>
    </xf>
    <xf numFmtId="0" fontId="16" fillId="0" borderId="6" xfId="0" applyFont="1" applyBorder="1" applyAlignment="1">
      <alignment horizontal="center" vertical="top"/>
    </xf>
    <xf numFmtId="164" fontId="11" fillId="0" borderId="6" xfId="6" applyNumberFormat="1" applyFont="1" applyBorder="1"/>
    <xf numFmtId="11" fontId="11" fillId="0" borderId="6" xfId="6" applyNumberFormat="1" applyFont="1" applyBorder="1" applyAlignment="1">
      <alignment horizontal="center" vertical="center"/>
    </xf>
    <xf numFmtId="11" fontId="10" fillId="0" borderId="6" xfId="0" applyNumberFormat="1" applyFont="1" applyBorder="1" applyAlignment="1">
      <alignment horizontal="center"/>
    </xf>
    <xf numFmtId="11" fontId="10" fillId="0" borderId="6" xfId="0" applyNumberFormat="1" applyFont="1" applyBorder="1"/>
    <xf numFmtId="0" fontId="11" fillId="0" borderId="6" xfId="6" applyFont="1" applyBorder="1" applyAlignment="1">
      <alignment horizontal="left" vertical="center"/>
    </xf>
    <xf numFmtId="0" fontId="17" fillId="4" borderId="6" xfId="4" applyFont="1" applyBorder="1" applyAlignment="1">
      <alignment horizontal="center" vertical="center"/>
    </xf>
    <xf numFmtId="164" fontId="14" fillId="3" borderId="6" xfId="3" applyNumberFormat="1" applyFont="1" applyBorder="1" applyAlignment="1">
      <alignment horizontal="center"/>
    </xf>
    <xf numFmtId="1" fontId="14" fillId="3" borderId="6" xfId="3" applyNumberFormat="1" applyFont="1" applyBorder="1"/>
    <xf numFmtId="11" fontId="14" fillId="3" borderId="6" xfId="3" applyNumberFormat="1" applyFont="1" applyBorder="1"/>
    <xf numFmtId="164" fontId="14" fillId="3" borderId="6" xfId="3" applyNumberFormat="1" applyFont="1" applyBorder="1"/>
    <xf numFmtId="167" fontId="14" fillId="3" borderId="6" xfId="3" applyNumberFormat="1" applyFont="1" applyBorder="1"/>
    <xf numFmtId="164" fontId="14" fillId="3" borderId="6" xfId="3" applyNumberFormat="1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1" fontId="14" fillId="3" borderId="6" xfId="3" applyNumberFormat="1" applyFont="1" applyBorder="1" applyAlignment="1">
      <alignment horizontal="center" vertical="center"/>
    </xf>
    <xf numFmtId="164" fontId="10" fillId="0" borderId="6" xfId="0" applyNumberFormat="1" applyFont="1" applyBorder="1" applyAlignment="1">
      <alignment horizontal="center" vertical="center"/>
    </xf>
    <xf numFmtId="11" fontId="10" fillId="0" borderId="6" xfId="0" applyNumberFormat="1" applyFont="1" applyBorder="1" applyAlignment="1">
      <alignment horizontal="center" vertical="center"/>
    </xf>
    <xf numFmtId="0" fontId="14" fillId="3" borderId="6" xfId="3" applyFont="1" applyBorder="1"/>
    <xf numFmtId="168" fontId="14" fillId="3" borderId="6" xfId="3" applyNumberFormat="1" applyFont="1" applyBorder="1"/>
    <xf numFmtId="11" fontId="14" fillId="3" borderId="6" xfId="3" applyNumberFormat="1" applyFont="1" applyBorder="1" applyAlignment="1">
      <alignment horizontal="center"/>
    </xf>
    <xf numFmtId="0" fontId="10" fillId="0" borderId="6" xfId="0" applyFont="1" applyBorder="1" applyAlignment="1">
      <alignment horizontal="left"/>
    </xf>
    <xf numFmtId="0" fontId="10" fillId="0" borderId="6" xfId="0" quotePrefix="1" applyFont="1" applyBorder="1" applyAlignment="1">
      <alignment horizontal="left"/>
    </xf>
    <xf numFmtId="1" fontId="14" fillId="3" borderId="6" xfId="3" applyNumberFormat="1" applyFont="1" applyBorder="1" applyAlignment="1">
      <alignment horizontal="center"/>
    </xf>
    <xf numFmtId="167" fontId="10" fillId="0" borderId="6" xfId="0" applyNumberFormat="1" applyFont="1" applyBorder="1" applyAlignment="1">
      <alignment horizontal="center"/>
    </xf>
    <xf numFmtId="1" fontId="10" fillId="0" borderId="6" xfId="0" applyNumberFormat="1" applyFont="1" applyBorder="1" applyAlignment="1">
      <alignment horizontal="center"/>
    </xf>
    <xf numFmtId="0" fontId="11" fillId="0" borderId="6" xfId="6" applyFont="1" applyBorder="1" applyAlignment="1">
      <alignment vertical="center"/>
    </xf>
    <xf numFmtId="165" fontId="14" fillId="3" borderId="6" xfId="3" applyNumberFormat="1" applyFont="1" applyBorder="1" applyAlignment="1">
      <alignment horizontal="center"/>
    </xf>
    <xf numFmtId="1" fontId="18" fillId="0" borderId="6" xfId="0" applyNumberFormat="1" applyFont="1" applyBorder="1"/>
    <xf numFmtId="2" fontId="18" fillId="0" borderId="6" xfId="0" applyNumberFormat="1" applyFont="1" applyBorder="1"/>
    <xf numFmtId="0" fontId="18" fillId="0" borderId="6" xfId="0" applyFont="1" applyBorder="1"/>
    <xf numFmtId="167" fontId="10" fillId="0" borderId="6" xfId="0" applyNumberFormat="1" applyFont="1" applyBorder="1"/>
    <xf numFmtId="10" fontId="10" fillId="0" borderId="6" xfId="8" applyNumberFormat="1" applyFont="1" applyBorder="1"/>
    <xf numFmtId="0" fontId="19" fillId="5" borderId="6" xfId="7" applyFont="1" applyFill="1" applyBorder="1" applyAlignment="1">
      <alignment horizontal="center"/>
    </xf>
    <xf numFmtId="0" fontId="20" fillId="5" borderId="6" xfId="5" applyFont="1" applyFill="1" applyBorder="1" applyAlignment="1">
      <alignment horizontal="center"/>
    </xf>
    <xf numFmtId="1" fontId="4" fillId="3" borderId="2" xfId="2" applyNumberFormat="1" applyFont="1" applyAlignment="1">
      <alignment horizontal="center"/>
    </xf>
    <xf numFmtId="0" fontId="4" fillId="3" borderId="2" xfId="2" applyAlignment="1">
      <alignment horizontal="center"/>
    </xf>
    <xf numFmtId="0" fontId="4" fillId="3" borderId="2" xfId="2" applyFont="1" applyAlignment="1">
      <alignment horizontal="center"/>
    </xf>
    <xf numFmtId="0" fontId="19" fillId="5" borderId="7" xfId="7" applyFont="1" applyFill="1" applyBorder="1" applyAlignment="1">
      <alignment horizontal="center"/>
    </xf>
    <xf numFmtId="0" fontId="19" fillId="5" borderId="8" xfId="7" applyFont="1" applyFill="1" applyBorder="1" applyAlignment="1">
      <alignment horizontal="center"/>
    </xf>
    <xf numFmtId="0" fontId="19" fillId="5" borderId="9" xfId="7" applyFont="1" applyFill="1" applyBorder="1" applyAlignment="1">
      <alignment horizontal="center"/>
    </xf>
    <xf numFmtId="0" fontId="14" fillId="3" borderId="10" xfId="3" applyFont="1" applyBorder="1" applyAlignment="1">
      <alignment horizontal="center" wrapText="1"/>
    </xf>
    <xf numFmtId="0" fontId="14" fillId="3" borderId="11" xfId="3" applyFont="1" applyBorder="1" applyAlignment="1">
      <alignment horizontal="center" wrapText="1"/>
    </xf>
    <xf numFmtId="9" fontId="4" fillId="3" borderId="2" xfId="2" applyNumberFormat="1" applyAlignment="1">
      <alignment horizontal="center"/>
    </xf>
    <xf numFmtId="0" fontId="6" fillId="6" borderId="6" xfId="6" applyFill="1" applyBorder="1" applyAlignment="1">
      <alignment horizontal="center"/>
    </xf>
    <xf numFmtId="0" fontId="11" fillId="0" borderId="7" xfId="6" applyFont="1" applyBorder="1" applyAlignment="1">
      <alignment horizontal="center"/>
    </xf>
    <xf numFmtId="0" fontId="11" fillId="0" borderId="9" xfId="6" applyFont="1" applyBorder="1" applyAlignment="1">
      <alignment horizontal="center"/>
    </xf>
    <xf numFmtId="0" fontId="11" fillId="0" borderId="10" xfId="6" applyFont="1" applyBorder="1" applyAlignment="1">
      <alignment horizontal="center" vertical="center"/>
    </xf>
    <xf numFmtId="0" fontId="11" fillId="0" borderId="11" xfId="6" applyFont="1" applyBorder="1" applyAlignment="1">
      <alignment horizontal="center" vertical="center"/>
    </xf>
    <xf numFmtId="2" fontId="22" fillId="3" borderId="6" xfId="2" applyNumberFormat="1" applyFont="1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180" fontId="4" fillId="3" borderId="2" xfId="2" applyNumberFormat="1" applyAlignment="1">
      <alignment horizontal="center"/>
    </xf>
    <xf numFmtId="180" fontId="4" fillId="3" borderId="2" xfId="2" applyNumberFormat="1" applyAlignment="1">
      <alignment horizontal="center" vertical="center"/>
    </xf>
    <xf numFmtId="0" fontId="9" fillId="0" borderId="6" xfId="0" applyFont="1" applyBorder="1" applyAlignment="1">
      <alignment horizontal="center"/>
    </xf>
    <xf numFmtId="10" fontId="15" fillId="3" borderId="6" xfId="2" applyNumberFormat="1" applyFont="1" applyBorder="1" applyAlignment="1">
      <alignment horizontal="center"/>
    </xf>
    <xf numFmtId="168" fontId="14" fillId="3" borderId="6" xfId="3" applyNumberFormat="1" applyFont="1" applyBorder="1" applyAlignment="1">
      <alignment horizontal="center"/>
    </xf>
    <xf numFmtId="10" fontId="10" fillId="0" borderId="6" xfId="8" applyNumberFormat="1" applyFont="1" applyBorder="1" applyAlignment="1">
      <alignment horizontal="center"/>
    </xf>
    <xf numFmtId="165" fontId="23" fillId="0" borderId="6" xfId="0" applyNumberFormat="1" applyFont="1" applyBorder="1" applyAlignment="1">
      <alignment horizontal="center" vertical="center"/>
    </xf>
    <xf numFmtId="0" fontId="18" fillId="0" borderId="6" xfId="0" applyFont="1" applyBorder="1" applyAlignment="1">
      <alignment horizontal="center"/>
    </xf>
    <xf numFmtId="0" fontId="24" fillId="0" borderId="6" xfId="6" applyFont="1" applyBorder="1" applyAlignment="1">
      <alignment horizontal="center" vertical="center"/>
    </xf>
    <xf numFmtId="0" fontId="0" fillId="0" borderId="5" xfId="0" applyBorder="1" applyAlignment="1">
      <alignment horizontal="center"/>
    </xf>
  </cellXfs>
  <cellStyles count="9">
    <cellStyle name="Calculation" xfId="3" builtinId="22"/>
    <cellStyle name="Explanatory Text" xfId="6" builtinId="53"/>
    <cellStyle name="Heading 1" xfId="5" builtinId="16"/>
    <cellStyle name="Hyperlink" xfId="7" builtinId="8"/>
    <cellStyle name="Input" xfId="1" builtinId="20"/>
    <cellStyle name="Normal" xfId="0" builtinId="0"/>
    <cellStyle name="Note" xfId="4" builtinId="10"/>
    <cellStyle name="Output" xfId="2" builtinId="21" customBuiltin="1"/>
    <cellStyle name="Percent" xfId="8" builtinId="5"/>
  </cellStyles>
  <dxfs count="2">
    <dxf>
      <fill>
        <patternFill patternType="darkUp">
          <fgColor theme="1"/>
        </patternFill>
      </fill>
    </dxf>
    <dxf>
      <fill>
        <patternFill patternType="darkUp">
          <fgColor auto="1"/>
        </patternFill>
      </fill>
    </dxf>
  </dxfs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Case!$J$86:$J$111</c:f>
              <c:numCache>
                <c:formatCode>0.0000</c:formatCode>
                <c:ptCount val="26"/>
                <c:pt idx="0">
                  <c:v>-8.6000000000000021E-2</c:v>
                </c:pt>
                <c:pt idx="1">
                  <c:v>-8.6000000000000021E-2</c:v>
                </c:pt>
                <c:pt idx="2">
                  <c:v>-6.4500000000000016E-2</c:v>
                </c:pt>
                <c:pt idx="3">
                  <c:v>-6.4500000000000016E-2</c:v>
                </c:pt>
                <c:pt idx="4">
                  <c:v>-4.300000000000001E-2</c:v>
                </c:pt>
                <c:pt idx="5">
                  <c:v>-4.300000000000001E-2</c:v>
                </c:pt>
                <c:pt idx="6">
                  <c:v>-2.1500000000000005E-2</c:v>
                </c:pt>
                <c:pt idx="7">
                  <c:v>-2.1500000000000005E-2</c:v>
                </c:pt>
                <c:pt idx="8">
                  <c:v>0</c:v>
                </c:pt>
                <c:pt idx="9">
                  <c:v>0</c:v>
                </c:pt>
                <c:pt idx="10">
                  <c:v>2.1500000000000005E-2</c:v>
                </c:pt>
                <c:pt idx="11">
                  <c:v>2.1500000000000005E-2</c:v>
                </c:pt>
                <c:pt idx="12">
                  <c:v>4.300000000000001E-2</c:v>
                </c:pt>
                <c:pt idx="13">
                  <c:v>4.300000000000001E-2</c:v>
                </c:pt>
                <c:pt idx="14">
                  <c:v>6.4500000000000016E-2</c:v>
                </c:pt>
                <c:pt idx="15">
                  <c:v>6.4500000000000016E-2</c:v>
                </c:pt>
                <c:pt idx="16">
                  <c:v>8.6000000000000021E-2</c:v>
                </c:pt>
                <c:pt idx="17">
                  <c:v>8.6000000000000021E-2</c:v>
                </c:pt>
                <c:pt idx="18">
                  <c:v>8.6000000000000021E-2</c:v>
                </c:pt>
                <c:pt idx="19">
                  <c:v>8.6000000000000021E-2</c:v>
                </c:pt>
                <c:pt idx="20">
                  <c:v>8.6000000000000021E-2</c:v>
                </c:pt>
                <c:pt idx="21">
                  <c:v>8.6000000000000021E-2</c:v>
                </c:pt>
                <c:pt idx="22">
                  <c:v>8.6000000000000021E-2</c:v>
                </c:pt>
                <c:pt idx="23">
                  <c:v>8.6000000000000021E-2</c:v>
                </c:pt>
                <c:pt idx="24">
                  <c:v>8.6000000000000021E-2</c:v>
                </c:pt>
                <c:pt idx="25">
                  <c:v>8.6000000000000021E-2</c:v>
                </c:pt>
              </c:numCache>
            </c:numRef>
          </c:xVal>
          <c:yVal>
            <c:numRef>
              <c:f>Case!$K$86:$K$111</c:f>
              <c:numCache>
                <c:formatCode>0</c:formatCode>
                <c:ptCount val="26"/>
                <c:pt idx="0" formatCode="General">
                  <c:v>0</c:v>
                </c:pt>
                <c:pt idx="1">
                  <c:v>24800.233697804801</c:v>
                </c:pt>
                <c:pt idx="2">
                  <c:v>24800.233697804801</c:v>
                </c:pt>
                <c:pt idx="3">
                  <c:v>24800.233697804801</c:v>
                </c:pt>
                <c:pt idx="4">
                  <c:v>24800.233697804801</c:v>
                </c:pt>
                <c:pt idx="5">
                  <c:v>23644.941726178113</c:v>
                </c:pt>
                <c:pt idx="6">
                  <c:v>23644.941726178113</c:v>
                </c:pt>
                <c:pt idx="7">
                  <c:v>23644.941726178113</c:v>
                </c:pt>
                <c:pt idx="8">
                  <c:v>23644.941726178113</c:v>
                </c:pt>
                <c:pt idx="9">
                  <c:v>24093.087998195224</c:v>
                </c:pt>
                <c:pt idx="10">
                  <c:v>24093.087998195224</c:v>
                </c:pt>
                <c:pt idx="11">
                  <c:v>24093.087998195224</c:v>
                </c:pt>
                <c:pt idx="12">
                  <c:v>24093.087998195224</c:v>
                </c:pt>
                <c:pt idx="13">
                  <c:v>54728.560637916024</c:v>
                </c:pt>
                <c:pt idx="14">
                  <c:v>54728.560637916024</c:v>
                </c:pt>
                <c:pt idx="15">
                  <c:v>54728.560637916024</c:v>
                </c:pt>
                <c:pt idx="16">
                  <c:v>54728.560637916024</c:v>
                </c:pt>
                <c:pt idx="17">
                  <c:v>1.4540735269359811E-3</c:v>
                </c:pt>
                <c:pt idx="18">
                  <c:v>1.4540735269359811E-3</c:v>
                </c:pt>
                <c:pt idx="19">
                  <c:v>1.4540735269359811E-3</c:v>
                </c:pt>
                <c:pt idx="20">
                  <c:v>1.4540735269359811E-3</c:v>
                </c:pt>
                <c:pt idx="21">
                  <c:v>6.9690535815591394E-4</c:v>
                </c:pt>
                <c:pt idx="22">
                  <c:v>6.9690535815591394E-4</c:v>
                </c:pt>
                <c:pt idx="23">
                  <c:v>6.9690535815591394E-4</c:v>
                </c:pt>
                <c:pt idx="24">
                  <c:v>6.9690535815591394E-4</c:v>
                </c:pt>
                <c:pt idx="2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3-4D80-B6C8-769DE0A6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445807"/>
        <c:axId val="439442447"/>
      </c:scatterChart>
      <c:valAx>
        <c:axId val="43944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2447"/>
        <c:crosses val="autoZero"/>
        <c:crossBetween val="midCat"/>
      </c:valAx>
      <c:valAx>
        <c:axId val="43944244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Fiber Stress [psi]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5807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Case!$J$86:$J$111</c:f>
              <c:numCache>
                <c:formatCode>0.0000</c:formatCode>
                <c:ptCount val="26"/>
                <c:pt idx="0">
                  <c:v>-8.6000000000000021E-2</c:v>
                </c:pt>
                <c:pt idx="1">
                  <c:v>-8.6000000000000021E-2</c:v>
                </c:pt>
                <c:pt idx="2">
                  <c:v>-6.4500000000000016E-2</c:v>
                </c:pt>
                <c:pt idx="3">
                  <c:v>-6.4500000000000016E-2</c:v>
                </c:pt>
                <c:pt idx="4">
                  <c:v>-4.300000000000001E-2</c:v>
                </c:pt>
                <c:pt idx="5">
                  <c:v>-4.300000000000001E-2</c:v>
                </c:pt>
                <c:pt idx="6">
                  <c:v>-2.1500000000000005E-2</c:v>
                </c:pt>
                <c:pt idx="7">
                  <c:v>-2.1500000000000005E-2</c:v>
                </c:pt>
                <c:pt idx="8">
                  <c:v>0</c:v>
                </c:pt>
                <c:pt idx="9">
                  <c:v>0</c:v>
                </c:pt>
                <c:pt idx="10">
                  <c:v>2.1500000000000005E-2</c:v>
                </c:pt>
                <c:pt idx="11">
                  <c:v>2.1500000000000005E-2</c:v>
                </c:pt>
                <c:pt idx="12">
                  <c:v>4.300000000000001E-2</c:v>
                </c:pt>
                <c:pt idx="13">
                  <c:v>4.300000000000001E-2</c:v>
                </c:pt>
                <c:pt idx="14">
                  <c:v>6.4500000000000016E-2</c:v>
                </c:pt>
                <c:pt idx="15">
                  <c:v>6.4500000000000016E-2</c:v>
                </c:pt>
                <c:pt idx="16">
                  <c:v>8.6000000000000021E-2</c:v>
                </c:pt>
                <c:pt idx="17">
                  <c:v>8.6000000000000021E-2</c:v>
                </c:pt>
                <c:pt idx="18">
                  <c:v>8.6000000000000021E-2</c:v>
                </c:pt>
                <c:pt idx="19">
                  <c:v>8.6000000000000021E-2</c:v>
                </c:pt>
                <c:pt idx="20">
                  <c:v>8.6000000000000021E-2</c:v>
                </c:pt>
                <c:pt idx="21">
                  <c:v>8.6000000000000021E-2</c:v>
                </c:pt>
                <c:pt idx="22">
                  <c:v>8.6000000000000021E-2</c:v>
                </c:pt>
                <c:pt idx="23">
                  <c:v>8.6000000000000021E-2</c:v>
                </c:pt>
                <c:pt idx="24">
                  <c:v>8.6000000000000021E-2</c:v>
                </c:pt>
                <c:pt idx="25">
                  <c:v>8.6000000000000021E-2</c:v>
                </c:pt>
              </c:numCache>
            </c:numRef>
          </c:xVal>
          <c:yVal>
            <c:numRef>
              <c:f>Case!$L$86:$L$111</c:f>
              <c:numCache>
                <c:formatCode>0</c:formatCode>
                <c:ptCount val="26"/>
                <c:pt idx="0" formatCode="General">
                  <c:v>0</c:v>
                </c:pt>
                <c:pt idx="1">
                  <c:v>1758.1055785011638</c:v>
                </c:pt>
                <c:pt idx="2">
                  <c:v>1758.1055785011638</c:v>
                </c:pt>
                <c:pt idx="3">
                  <c:v>1758.1055785011638</c:v>
                </c:pt>
                <c:pt idx="4">
                  <c:v>1758.1055785011638</c:v>
                </c:pt>
                <c:pt idx="5">
                  <c:v>1793.8772825506001</c:v>
                </c:pt>
                <c:pt idx="6">
                  <c:v>1793.8772825506001</c:v>
                </c:pt>
                <c:pt idx="7">
                  <c:v>1793.8772825506001</c:v>
                </c:pt>
                <c:pt idx="8">
                  <c:v>1793.8772825506001</c:v>
                </c:pt>
                <c:pt idx="9">
                  <c:v>1780.0011748590682</c:v>
                </c:pt>
                <c:pt idx="10">
                  <c:v>1780.0011748590682</c:v>
                </c:pt>
                <c:pt idx="11">
                  <c:v>1780.0011748590682</c:v>
                </c:pt>
                <c:pt idx="12">
                  <c:v>1780.0011748590682</c:v>
                </c:pt>
                <c:pt idx="13">
                  <c:v>831.42446213452706</c:v>
                </c:pt>
                <c:pt idx="14">
                  <c:v>831.42446213452706</c:v>
                </c:pt>
                <c:pt idx="15">
                  <c:v>831.42446213452706</c:v>
                </c:pt>
                <c:pt idx="16">
                  <c:v>831.42446213452706</c:v>
                </c:pt>
                <c:pt idx="17">
                  <c:v>1.5658494557786071E-3</c:v>
                </c:pt>
                <c:pt idx="18">
                  <c:v>1.5658494557786071E-3</c:v>
                </c:pt>
                <c:pt idx="19">
                  <c:v>1.5658494557786071E-3</c:v>
                </c:pt>
                <c:pt idx="20">
                  <c:v>1.5658494557786071E-3</c:v>
                </c:pt>
                <c:pt idx="21">
                  <c:v>2.323017624558674E-3</c:v>
                </c:pt>
                <c:pt idx="22">
                  <c:v>2.323017624558674E-3</c:v>
                </c:pt>
                <c:pt idx="23">
                  <c:v>2.323017624558674E-3</c:v>
                </c:pt>
                <c:pt idx="24">
                  <c:v>2.323017624558674E-3</c:v>
                </c:pt>
                <c:pt idx="2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A0-4AEE-BDA0-5DFF964F9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445807"/>
        <c:axId val="439442447"/>
      </c:scatterChart>
      <c:valAx>
        <c:axId val="43944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Z-position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2447"/>
        <c:crosses val="autoZero"/>
        <c:crossBetween val="midCat"/>
      </c:valAx>
      <c:valAx>
        <c:axId val="43944244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Matrix</a:t>
                </a:r>
                <a:r>
                  <a:rPr lang="en-US" baseline="0"/>
                  <a:t> </a:t>
                </a:r>
                <a:r>
                  <a:rPr lang="en-US"/>
                  <a:t> Stress [psi]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445807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28</xdr:row>
      <xdr:rowOff>0</xdr:rowOff>
    </xdr:from>
    <xdr:to>
      <xdr:col>15</xdr:col>
      <xdr:colOff>304800</xdr:colOff>
      <xdr:row>29</xdr:row>
      <xdr:rowOff>121919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BAED2A0C-D540-4990-BB1F-130F9CC996A4}"/>
            </a:ext>
          </a:extLst>
        </xdr:cNvPr>
        <xdr:cNvSpPr>
          <a:spLocks noChangeAspect="1" noChangeArrowheads="1"/>
        </xdr:cNvSpPr>
      </xdr:nvSpPr>
      <xdr:spPr bwMode="auto">
        <a:xfrm>
          <a:off x="10614660" y="2644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20</xdr:col>
      <xdr:colOff>0</xdr:colOff>
      <xdr:row>28</xdr:row>
      <xdr:rowOff>0</xdr:rowOff>
    </xdr:from>
    <xdr:ext cx="304800" cy="306977"/>
    <xdr:sp macro="" textlink="">
      <xdr:nvSpPr>
        <xdr:cNvPr id="237082" name="AutoShape 2">
          <a:extLst>
            <a:ext uri="{FF2B5EF4-FFF2-40B4-BE49-F238E27FC236}">
              <a16:creationId xmlns:a16="http://schemas.microsoft.com/office/drawing/2014/main" id="{25EB24DC-55EC-40B5-97C0-562594378B46}"/>
            </a:ext>
          </a:extLst>
        </xdr:cNvPr>
        <xdr:cNvSpPr>
          <a:spLocks noChangeAspect="1" noChangeArrowheads="1"/>
        </xdr:cNvSpPr>
      </xdr:nvSpPr>
      <xdr:spPr bwMode="auto">
        <a:xfrm>
          <a:off x="10570029" y="5279571"/>
          <a:ext cx="304800" cy="306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12</xdr:col>
      <xdr:colOff>0</xdr:colOff>
      <xdr:row>12</xdr:row>
      <xdr:rowOff>0</xdr:rowOff>
    </xdr:from>
    <xdr:to>
      <xdr:col>12</xdr:col>
      <xdr:colOff>304800</xdr:colOff>
      <xdr:row>13</xdr:row>
      <xdr:rowOff>121920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5378691A-DEA7-9CEB-9924-201DA616282C}"/>
            </a:ext>
          </a:extLst>
        </xdr:cNvPr>
        <xdr:cNvSpPr>
          <a:spLocks noChangeAspect="1" noChangeArrowheads="1"/>
        </xdr:cNvSpPr>
      </xdr:nvSpPr>
      <xdr:spPr bwMode="auto">
        <a:xfrm>
          <a:off x="8519160" y="2263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206827</xdr:colOff>
      <xdr:row>13</xdr:row>
      <xdr:rowOff>87086</xdr:rowOff>
    </xdr:from>
    <xdr:to>
      <xdr:col>34</xdr:col>
      <xdr:colOff>206827</xdr:colOff>
      <xdr:row>15</xdr:row>
      <xdr:rowOff>32657</xdr:rowOff>
    </xdr:to>
    <xdr:sp macro="" textlink="">
      <xdr:nvSpPr>
        <xdr:cNvPr id="689716" name="TextBox 689715">
          <a:extLst>
            <a:ext uri="{FF2B5EF4-FFF2-40B4-BE49-F238E27FC236}">
              <a16:creationId xmlns:a16="http://schemas.microsoft.com/office/drawing/2014/main" id="{4BCD7F72-C055-2795-AADB-16E8F7C4DAA8}"/>
            </a:ext>
          </a:extLst>
        </xdr:cNvPr>
        <xdr:cNvSpPr txBox="1"/>
      </xdr:nvSpPr>
      <xdr:spPr>
        <a:xfrm>
          <a:off x="22195970" y="2743200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Malibu</a:t>
          </a:r>
        </a:p>
      </xdr:txBody>
    </xdr:sp>
    <xdr:clientData/>
  </xdr:twoCellAnchor>
  <xdr:twoCellAnchor>
    <xdr:from>
      <xdr:col>29</xdr:col>
      <xdr:colOff>163284</xdr:colOff>
      <xdr:row>11</xdr:row>
      <xdr:rowOff>130629</xdr:rowOff>
    </xdr:from>
    <xdr:to>
      <xdr:col>31</xdr:col>
      <xdr:colOff>130627</xdr:colOff>
      <xdr:row>13</xdr:row>
      <xdr:rowOff>76201</xdr:rowOff>
    </xdr:to>
    <xdr:sp macro="" textlink="">
      <xdr:nvSpPr>
        <xdr:cNvPr id="689717" name="TextBox 689716">
          <a:extLst>
            <a:ext uri="{FF2B5EF4-FFF2-40B4-BE49-F238E27FC236}">
              <a16:creationId xmlns:a16="http://schemas.microsoft.com/office/drawing/2014/main" id="{79A09F00-BDE1-4AE4-9F5E-4D26D6DBEF4F}"/>
            </a:ext>
          </a:extLst>
        </xdr:cNvPr>
        <xdr:cNvSpPr txBox="1"/>
      </xdr:nvSpPr>
      <xdr:spPr>
        <a:xfrm>
          <a:off x="20127684" y="2416629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ESIV</a:t>
          </a:r>
        </a:p>
      </xdr:txBody>
    </xdr:sp>
    <xdr:clientData/>
  </xdr:twoCellAnchor>
  <xdr:twoCellAnchor>
    <xdr:from>
      <xdr:col>28</xdr:col>
      <xdr:colOff>315684</xdr:colOff>
      <xdr:row>12</xdr:row>
      <xdr:rowOff>10886</xdr:rowOff>
    </xdr:from>
    <xdr:to>
      <xdr:col>30</xdr:col>
      <xdr:colOff>348341</xdr:colOff>
      <xdr:row>13</xdr:row>
      <xdr:rowOff>141515</xdr:rowOff>
    </xdr:to>
    <xdr:sp macro="" textlink="">
      <xdr:nvSpPr>
        <xdr:cNvPr id="689722" name="TextBox 689721">
          <a:extLst>
            <a:ext uri="{FF2B5EF4-FFF2-40B4-BE49-F238E27FC236}">
              <a16:creationId xmlns:a16="http://schemas.microsoft.com/office/drawing/2014/main" id="{5AAF774C-9D1D-455C-9B89-9A95590BBB1B}"/>
            </a:ext>
          </a:extLst>
        </xdr:cNvPr>
        <xdr:cNvSpPr txBox="1"/>
      </xdr:nvSpPr>
      <xdr:spPr>
        <a:xfrm>
          <a:off x="19583398" y="2481943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F2S3</a:t>
          </a:r>
        </a:p>
      </xdr:txBody>
    </xdr:sp>
    <xdr:clientData/>
  </xdr:twoCellAnchor>
  <xdr:twoCellAnchor>
    <xdr:from>
      <xdr:col>29</xdr:col>
      <xdr:colOff>119741</xdr:colOff>
      <xdr:row>13</xdr:row>
      <xdr:rowOff>21772</xdr:rowOff>
    </xdr:from>
    <xdr:to>
      <xdr:col>31</xdr:col>
      <xdr:colOff>87084</xdr:colOff>
      <xdr:row>14</xdr:row>
      <xdr:rowOff>152401</xdr:rowOff>
    </xdr:to>
    <xdr:sp macro="" textlink="">
      <xdr:nvSpPr>
        <xdr:cNvPr id="689723" name="TextBox 689722">
          <a:extLst>
            <a:ext uri="{FF2B5EF4-FFF2-40B4-BE49-F238E27FC236}">
              <a16:creationId xmlns:a16="http://schemas.microsoft.com/office/drawing/2014/main" id="{FA6A5F12-843A-49ED-92EC-97C2554E5289}"/>
            </a:ext>
          </a:extLst>
        </xdr:cNvPr>
        <xdr:cNvSpPr txBox="1"/>
      </xdr:nvSpPr>
      <xdr:spPr>
        <a:xfrm>
          <a:off x="20084141" y="2677886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ESIII</a:t>
          </a:r>
        </a:p>
      </xdr:txBody>
    </xdr:sp>
    <xdr:clientData/>
  </xdr:twoCellAnchor>
  <xdr:twoCellAnchor>
    <xdr:from>
      <xdr:col>29</xdr:col>
      <xdr:colOff>152398</xdr:colOff>
      <xdr:row>15</xdr:row>
      <xdr:rowOff>54428</xdr:rowOff>
    </xdr:from>
    <xdr:to>
      <xdr:col>31</xdr:col>
      <xdr:colOff>119741</xdr:colOff>
      <xdr:row>17</xdr:row>
      <xdr:rowOff>32657</xdr:rowOff>
    </xdr:to>
    <xdr:sp macro="" textlink="">
      <xdr:nvSpPr>
        <xdr:cNvPr id="689724" name="TextBox 689723">
          <a:extLst>
            <a:ext uri="{FF2B5EF4-FFF2-40B4-BE49-F238E27FC236}">
              <a16:creationId xmlns:a16="http://schemas.microsoft.com/office/drawing/2014/main" id="{AFF35C93-ECDE-422E-BCFA-09CD6EE2642F}"/>
            </a:ext>
          </a:extLst>
        </xdr:cNvPr>
        <xdr:cNvSpPr txBox="1"/>
      </xdr:nvSpPr>
      <xdr:spPr>
        <a:xfrm>
          <a:off x="20116798" y="3080657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Fireball</a:t>
          </a:r>
        </a:p>
      </xdr:txBody>
    </xdr:sp>
    <xdr:clientData/>
  </xdr:twoCellAnchor>
  <xdr:twoCellAnchor>
    <xdr:from>
      <xdr:col>28</xdr:col>
      <xdr:colOff>228598</xdr:colOff>
      <xdr:row>17</xdr:row>
      <xdr:rowOff>87084</xdr:rowOff>
    </xdr:from>
    <xdr:to>
      <xdr:col>30</xdr:col>
      <xdr:colOff>261255</xdr:colOff>
      <xdr:row>19</xdr:row>
      <xdr:rowOff>54427</xdr:rowOff>
    </xdr:to>
    <xdr:sp macro="" textlink="">
      <xdr:nvSpPr>
        <xdr:cNvPr id="689725" name="TextBox 689724">
          <a:extLst>
            <a:ext uri="{FF2B5EF4-FFF2-40B4-BE49-F238E27FC236}">
              <a16:creationId xmlns:a16="http://schemas.microsoft.com/office/drawing/2014/main" id="{DF77BA5B-A507-45E2-B730-84354B43DDB0}"/>
            </a:ext>
          </a:extLst>
        </xdr:cNvPr>
        <xdr:cNvSpPr txBox="1"/>
      </xdr:nvSpPr>
      <xdr:spPr>
        <a:xfrm>
          <a:off x="19496312" y="3450770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ESII</a:t>
          </a:r>
        </a:p>
      </xdr:txBody>
    </xdr:sp>
    <xdr:clientData/>
  </xdr:twoCellAnchor>
  <xdr:twoCellAnchor>
    <xdr:from>
      <xdr:col>29</xdr:col>
      <xdr:colOff>141512</xdr:colOff>
      <xdr:row>16</xdr:row>
      <xdr:rowOff>141513</xdr:rowOff>
    </xdr:from>
    <xdr:to>
      <xdr:col>31</xdr:col>
      <xdr:colOff>108855</xdr:colOff>
      <xdr:row>18</xdr:row>
      <xdr:rowOff>108856</xdr:rowOff>
    </xdr:to>
    <xdr:sp macro="" textlink="">
      <xdr:nvSpPr>
        <xdr:cNvPr id="689726" name="TextBox 689725">
          <a:extLst>
            <a:ext uri="{FF2B5EF4-FFF2-40B4-BE49-F238E27FC236}">
              <a16:creationId xmlns:a16="http://schemas.microsoft.com/office/drawing/2014/main" id="{5BAAF307-FD3F-44E9-ABE2-B0BD57276308}"/>
            </a:ext>
          </a:extLst>
        </xdr:cNvPr>
        <xdr:cNvSpPr txBox="1"/>
      </xdr:nvSpPr>
      <xdr:spPr>
        <a:xfrm>
          <a:off x="20105912" y="3331027"/>
          <a:ext cx="1338943" cy="3156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Jawbone</a:t>
          </a:r>
        </a:p>
      </xdr:txBody>
    </xdr:sp>
    <xdr:clientData/>
  </xdr:twoCellAnchor>
  <xdr:twoCellAnchor>
    <xdr:from>
      <xdr:col>31</xdr:col>
      <xdr:colOff>130629</xdr:colOff>
      <xdr:row>4</xdr:row>
      <xdr:rowOff>32657</xdr:rowOff>
    </xdr:from>
    <xdr:to>
      <xdr:col>33</xdr:col>
      <xdr:colOff>402770</xdr:colOff>
      <xdr:row>5</xdr:row>
      <xdr:rowOff>97971</xdr:rowOff>
    </xdr:to>
    <xdr:sp macro="" textlink="">
      <xdr:nvSpPr>
        <xdr:cNvPr id="689727" name="TextBox 689726">
          <a:extLst>
            <a:ext uri="{FF2B5EF4-FFF2-40B4-BE49-F238E27FC236}">
              <a16:creationId xmlns:a16="http://schemas.microsoft.com/office/drawing/2014/main" id="{CE7BE8AC-7EFF-4DEA-9F05-AED07840A481}"/>
            </a:ext>
          </a:extLst>
        </xdr:cNvPr>
        <xdr:cNvSpPr txBox="1"/>
      </xdr:nvSpPr>
      <xdr:spPr>
        <a:xfrm>
          <a:off x="21466629" y="1023257"/>
          <a:ext cx="1654627" cy="2503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Theoritical CFRP Limit</a:t>
          </a:r>
        </a:p>
      </xdr:txBody>
    </xdr:sp>
    <xdr:clientData/>
  </xdr:twoCellAnchor>
  <xdr:twoCellAnchor>
    <xdr:from>
      <xdr:col>31</xdr:col>
      <xdr:colOff>141515</xdr:colOff>
      <xdr:row>18</xdr:row>
      <xdr:rowOff>54429</xdr:rowOff>
    </xdr:from>
    <xdr:to>
      <xdr:col>33</xdr:col>
      <xdr:colOff>413656</xdr:colOff>
      <xdr:row>19</xdr:row>
      <xdr:rowOff>130628</xdr:rowOff>
    </xdr:to>
    <xdr:sp macro="" textlink="">
      <xdr:nvSpPr>
        <xdr:cNvPr id="689728" name="TextBox 689727">
          <a:extLst>
            <a:ext uri="{FF2B5EF4-FFF2-40B4-BE49-F238E27FC236}">
              <a16:creationId xmlns:a16="http://schemas.microsoft.com/office/drawing/2014/main" id="{BB8D0F3B-67A6-4553-BC86-2421345EDC5C}"/>
            </a:ext>
          </a:extLst>
        </xdr:cNvPr>
        <xdr:cNvSpPr txBox="1"/>
      </xdr:nvSpPr>
      <xdr:spPr>
        <a:xfrm>
          <a:off x="21477515" y="3592286"/>
          <a:ext cx="1654627" cy="2503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Theoritical AL Limit</a:t>
          </a:r>
        </a:p>
      </xdr:txBody>
    </xdr:sp>
    <xdr:clientData/>
  </xdr:twoCellAnchor>
  <xdr:twoCellAnchor>
    <xdr:from>
      <xdr:col>17</xdr:col>
      <xdr:colOff>345619</xdr:colOff>
      <xdr:row>0</xdr:row>
      <xdr:rowOff>68036</xdr:rowOff>
    </xdr:from>
    <xdr:to>
      <xdr:col>24</xdr:col>
      <xdr:colOff>19049</xdr:colOff>
      <xdr:row>13</xdr:row>
      <xdr:rowOff>68036</xdr:rowOff>
    </xdr:to>
    <xdr:graphicFrame macro="">
      <xdr:nvGraphicFramePr>
        <xdr:cNvPr id="698573" name="Chart 698572">
          <a:extLst>
            <a:ext uri="{FF2B5EF4-FFF2-40B4-BE49-F238E27FC236}">
              <a16:creationId xmlns:a16="http://schemas.microsoft.com/office/drawing/2014/main" id="{29884770-1FA9-F4E1-222F-5176088C7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306158</xdr:colOff>
      <xdr:row>13</xdr:row>
      <xdr:rowOff>152398</xdr:rowOff>
    </xdr:from>
    <xdr:to>
      <xdr:col>23</xdr:col>
      <xdr:colOff>657224</xdr:colOff>
      <xdr:row>29</xdr:row>
      <xdr:rowOff>10885</xdr:rowOff>
    </xdr:to>
    <xdr:graphicFrame macro="">
      <xdr:nvGraphicFramePr>
        <xdr:cNvPr id="699653" name="Chart 699652">
          <a:extLst>
            <a:ext uri="{FF2B5EF4-FFF2-40B4-BE49-F238E27FC236}">
              <a16:creationId xmlns:a16="http://schemas.microsoft.com/office/drawing/2014/main" id="{6C991BF0-CE6D-4300-9002-FE6BD0E52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414020</xdr:colOff>
      <xdr:row>7</xdr:row>
      <xdr:rowOff>55880</xdr:rowOff>
    </xdr:from>
    <xdr:to>
      <xdr:col>2</xdr:col>
      <xdr:colOff>1066800</xdr:colOff>
      <xdr:row>18</xdr:row>
      <xdr:rowOff>76200</xdr:rowOff>
    </xdr:to>
    <xdr:sp macro="" textlink="">
      <xdr:nvSpPr>
        <xdr:cNvPr id="2065256" name="LaminateViewer">
          <a:extLst>
            <a:ext uri="{FF2B5EF4-FFF2-40B4-BE49-F238E27FC236}">
              <a16:creationId xmlns:a16="http://schemas.microsoft.com/office/drawing/2014/main" id="{02F804B3-FCD7-3ADA-5218-2E7C1936F911}"/>
            </a:ext>
          </a:extLst>
        </xdr:cNvPr>
        <xdr:cNvSpPr/>
      </xdr:nvSpPr>
      <xdr:spPr>
        <a:xfrm>
          <a:off x="414020" y="1557020"/>
          <a:ext cx="2413000" cy="2001520"/>
        </a:xfrm>
        <a:prstGeom prst="rect">
          <a:avLst/>
        </a:prstGeom>
        <a:noFill/>
        <a:ln w="2540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939800</xdr:colOff>
      <xdr:row>9</xdr:row>
      <xdr:rowOff>35560</xdr:rowOff>
    </xdr:to>
    <xdr:sp macro="" textlink="">
      <xdr:nvSpPr>
        <xdr:cNvPr id="2065257" name="LaminatePly0">
          <a:extLst>
            <a:ext uri="{FF2B5EF4-FFF2-40B4-BE49-F238E27FC236}">
              <a16:creationId xmlns:a16="http://schemas.microsoft.com/office/drawing/2014/main" id="{D1CC5BFC-1EF6-0350-93CD-A7418462B020}"/>
            </a:ext>
          </a:extLst>
        </xdr:cNvPr>
        <xdr:cNvSpPr/>
      </xdr:nvSpPr>
      <xdr:spPr>
        <a:xfrm>
          <a:off x="541020" y="168402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40°</a:t>
          </a:r>
        </a:p>
      </xdr:txBody>
    </xdr:sp>
    <xdr:clientData/>
  </xdr:twoCellAnchor>
  <xdr:twoCellAnchor>
    <xdr:from>
      <xdr:col>1</xdr:col>
      <xdr:colOff>0</xdr:colOff>
      <xdr:row>9</xdr:row>
      <xdr:rowOff>35560</xdr:rowOff>
    </xdr:from>
    <xdr:to>
      <xdr:col>2</xdr:col>
      <xdr:colOff>939800</xdr:colOff>
      <xdr:row>10</xdr:row>
      <xdr:rowOff>71120</xdr:rowOff>
    </xdr:to>
    <xdr:sp macro="" textlink="">
      <xdr:nvSpPr>
        <xdr:cNvPr id="2065258" name="LaminatePly1">
          <a:extLst>
            <a:ext uri="{FF2B5EF4-FFF2-40B4-BE49-F238E27FC236}">
              <a16:creationId xmlns:a16="http://schemas.microsoft.com/office/drawing/2014/main" id="{3A63F8DB-5581-88E9-952F-1514026D1626}"/>
            </a:ext>
          </a:extLst>
        </xdr:cNvPr>
        <xdr:cNvSpPr/>
      </xdr:nvSpPr>
      <xdr:spPr>
        <a:xfrm>
          <a:off x="541020" y="190246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-40°</a:t>
          </a:r>
        </a:p>
      </xdr:txBody>
    </xdr:sp>
    <xdr:clientData/>
  </xdr:twoCellAnchor>
  <xdr:twoCellAnchor>
    <xdr:from>
      <xdr:col>1</xdr:col>
      <xdr:colOff>0</xdr:colOff>
      <xdr:row>10</xdr:row>
      <xdr:rowOff>71120</xdr:rowOff>
    </xdr:from>
    <xdr:to>
      <xdr:col>2</xdr:col>
      <xdr:colOff>939800</xdr:colOff>
      <xdr:row>11</xdr:row>
      <xdr:rowOff>106680</xdr:rowOff>
    </xdr:to>
    <xdr:sp macro="" textlink="">
      <xdr:nvSpPr>
        <xdr:cNvPr id="2065259" name="LaminatePly2">
          <a:extLst>
            <a:ext uri="{FF2B5EF4-FFF2-40B4-BE49-F238E27FC236}">
              <a16:creationId xmlns:a16="http://schemas.microsoft.com/office/drawing/2014/main" id="{975FF07A-3464-01A6-1C92-1C3DC29FED70}"/>
            </a:ext>
          </a:extLst>
        </xdr:cNvPr>
        <xdr:cNvSpPr/>
      </xdr:nvSpPr>
      <xdr:spPr>
        <a:xfrm>
          <a:off x="541020" y="212090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39°</a:t>
          </a:r>
        </a:p>
      </xdr:txBody>
    </xdr:sp>
    <xdr:clientData/>
  </xdr:twoCellAnchor>
  <xdr:twoCellAnchor>
    <xdr:from>
      <xdr:col>1</xdr:col>
      <xdr:colOff>0</xdr:colOff>
      <xdr:row>11</xdr:row>
      <xdr:rowOff>106680</xdr:rowOff>
    </xdr:from>
    <xdr:to>
      <xdr:col>2</xdr:col>
      <xdr:colOff>939800</xdr:colOff>
      <xdr:row>12</xdr:row>
      <xdr:rowOff>142240</xdr:rowOff>
    </xdr:to>
    <xdr:sp macro="" textlink="">
      <xdr:nvSpPr>
        <xdr:cNvPr id="2065260" name="LaminatePly3">
          <a:extLst>
            <a:ext uri="{FF2B5EF4-FFF2-40B4-BE49-F238E27FC236}">
              <a16:creationId xmlns:a16="http://schemas.microsoft.com/office/drawing/2014/main" id="{BDBE698D-2948-7EC8-F93E-E1CFA17438C3}"/>
            </a:ext>
          </a:extLst>
        </xdr:cNvPr>
        <xdr:cNvSpPr/>
      </xdr:nvSpPr>
      <xdr:spPr>
        <a:xfrm>
          <a:off x="541020" y="233934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-39°</a:t>
          </a:r>
        </a:p>
      </xdr:txBody>
    </xdr:sp>
    <xdr:clientData/>
  </xdr:twoCellAnchor>
  <xdr:twoCellAnchor>
    <xdr:from>
      <xdr:col>1</xdr:col>
      <xdr:colOff>0</xdr:colOff>
      <xdr:row>12</xdr:row>
      <xdr:rowOff>142240</xdr:rowOff>
    </xdr:from>
    <xdr:to>
      <xdr:col>2</xdr:col>
      <xdr:colOff>939800</xdr:colOff>
      <xdr:row>13</xdr:row>
      <xdr:rowOff>177800</xdr:rowOff>
    </xdr:to>
    <xdr:sp macro="" textlink="">
      <xdr:nvSpPr>
        <xdr:cNvPr id="2065261" name="LaminatePly4">
          <a:extLst>
            <a:ext uri="{FF2B5EF4-FFF2-40B4-BE49-F238E27FC236}">
              <a16:creationId xmlns:a16="http://schemas.microsoft.com/office/drawing/2014/main" id="{DFB1FD8D-072A-04AF-BAFA-AEF17943ED47}"/>
            </a:ext>
          </a:extLst>
        </xdr:cNvPr>
        <xdr:cNvSpPr/>
      </xdr:nvSpPr>
      <xdr:spPr>
        <a:xfrm>
          <a:off x="541020" y="255778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40°</a:t>
          </a:r>
        </a:p>
      </xdr:txBody>
    </xdr:sp>
    <xdr:clientData/>
  </xdr:twoCellAnchor>
  <xdr:twoCellAnchor>
    <xdr:from>
      <xdr:col>1</xdr:col>
      <xdr:colOff>0</xdr:colOff>
      <xdr:row>13</xdr:row>
      <xdr:rowOff>177800</xdr:rowOff>
    </xdr:from>
    <xdr:to>
      <xdr:col>2</xdr:col>
      <xdr:colOff>939800</xdr:colOff>
      <xdr:row>15</xdr:row>
      <xdr:rowOff>30480</xdr:rowOff>
    </xdr:to>
    <xdr:sp macro="" textlink="">
      <xdr:nvSpPr>
        <xdr:cNvPr id="2065262" name="LaminatePly5">
          <a:extLst>
            <a:ext uri="{FF2B5EF4-FFF2-40B4-BE49-F238E27FC236}">
              <a16:creationId xmlns:a16="http://schemas.microsoft.com/office/drawing/2014/main" id="{F0178067-CDD6-4E47-2FCE-00A27661EA49}"/>
            </a:ext>
          </a:extLst>
        </xdr:cNvPr>
        <xdr:cNvSpPr/>
      </xdr:nvSpPr>
      <xdr:spPr>
        <a:xfrm>
          <a:off x="541020" y="2776220"/>
          <a:ext cx="2159000" cy="21844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-40°</a:t>
          </a:r>
        </a:p>
      </xdr:txBody>
    </xdr:sp>
    <xdr:clientData/>
  </xdr:twoCellAnchor>
  <xdr:twoCellAnchor>
    <xdr:from>
      <xdr:col>1</xdr:col>
      <xdr:colOff>0</xdr:colOff>
      <xdr:row>15</xdr:row>
      <xdr:rowOff>30480</xdr:rowOff>
    </xdr:from>
    <xdr:to>
      <xdr:col>2</xdr:col>
      <xdr:colOff>939800</xdr:colOff>
      <xdr:row>16</xdr:row>
      <xdr:rowOff>81280</xdr:rowOff>
    </xdr:to>
    <xdr:sp macro="" textlink="">
      <xdr:nvSpPr>
        <xdr:cNvPr id="2065263" name="LaminatePly6">
          <a:extLst>
            <a:ext uri="{FF2B5EF4-FFF2-40B4-BE49-F238E27FC236}">
              <a16:creationId xmlns:a16="http://schemas.microsoft.com/office/drawing/2014/main" id="{A3FE7EA9-E810-E12A-9D1D-A3FCDF62C640}"/>
            </a:ext>
          </a:extLst>
        </xdr:cNvPr>
        <xdr:cNvSpPr/>
      </xdr:nvSpPr>
      <xdr:spPr>
        <a:xfrm>
          <a:off x="541020" y="2994660"/>
          <a:ext cx="2159000" cy="218440"/>
        </a:xfrm>
        <a:prstGeom prst="rect">
          <a:avLst/>
        </a:prstGeom>
        <a:solidFill>
          <a:srgbClr val="5050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76°</a:t>
          </a:r>
        </a:p>
      </xdr:txBody>
    </xdr:sp>
    <xdr:clientData/>
  </xdr:twoCellAnchor>
  <xdr:twoCellAnchor>
    <xdr:from>
      <xdr:col>1</xdr:col>
      <xdr:colOff>0</xdr:colOff>
      <xdr:row>16</xdr:row>
      <xdr:rowOff>81280</xdr:rowOff>
    </xdr:from>
    <xdr:to>
      <xdr:col>2</xdr:col>
      <xdr:colOff>939800</xdr:colOff>
      <xdr:row>17</xdr:row>
      <xdr:rowOff>124460</xdr:rowOff>
    </xdr:to>
    <xdr:sp macro="" textlink="">
      <xdr:nvSpPr>
        <xdr:cNvPr id="2065264" name="LaminatePly7">
          <a:extLst>
            <a:ext uri="{FF2B5EF4-FFF2-40B4-BE49-F238E27FC236}">
              <a16:creationId xmlns:a16="http://schemas.microsoft.com/office/drawing/2014/main" id="{8C19021B-C502-42AC-419B-DD5D177E78EC}"/>
            </a:ext>
          </a:extLst>
        </xdr:cNvPr>
        <xdr:cNvSpPr/>
      </xdr:nvSpPr>
      <xdr:spPr>
        <a:xfrm>
          <a:off x="541020" y="3213100"/>
          <a:ext cx="2159000" cy="218440"/>
        </a:xfrm>
        <a:prstGeom prst="rect">
          <a:avLst/>
        </a:prstGeom>
        <a:solidFill>
          <a:srgbClr val="5050B4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-76°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065265" name="LaminatePly8">
          <a:extLst>
            <a:ext uri="{FF2B5EF4-FFF2-40B4-BE49-F238E27FC236}">
              <a16:creationId xmlns:a16="http://schemas.microsoft.com/office/drawing/2014/main" id="{A2DFE35B-EF12-1E53-CB4A-91339107703A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43°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065266" name="LaminatePly9">
          <a:extLst>
            <a:ext uri="{FF2B5EF4-FFF2-40B4-BE49-F238E27FC236}">
              <a16:creationId xmlns:a16="http://schemas.microsoft.com/office/drawing/2014/main" id="{DE7555B6-F0BD-713E-1F81-1AF8FC8AF4F1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B4B43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-43°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065267" name="LaminatePly10">
          <a:extLst>
            <a:ext uri="{FF2B5EF4-FFF2-40B4-BE49-F238E27FC236}">
              <a16:creationId xmlns:a16="http://schemas.microsoft.com/office/drawing/2014/main" id="{6DCDB0CA-6B2D-435A-8A6B-3930D284A7B8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0°</a:t>
          </a:r>
        </a:p>
      </xdr:txBody>
    </xdr:sp>
    <xdr:clientData/>
  </xdr:twoCellAnchor>
  <xdr:twoCellAnchor>
    <xdr:from>
      <xdr:col>1</xdr:col>
      <xdr:colOff>0</xdr:colOff>
      <xdr:row>17</xdr:row>
      <xdr:rowOff>124460</xdr:rowOff>
    </xdr:from>
    <xdr:to>
      <xdr:col>2</xdr:col>
      <xdr:colOff>939800</xdr:colOff>
      <xdr:row>17</xdr:row>
      <xdr:rowOff>124460</xdr:rowOff>
    </xdr:to>
    <xdr:sp macro="" textlink="">
      <xdr:nvSpPr>
        <xdr:cNvPr id="2065268" name="LaminatePly11">
          <a:extLst>
            <a:ext uri="{FF2B5EF4-FFF2-40B4-BE49-F238E27FC236}">
              <a16:creationId xmlns:a16="http://schemas.microsoft.com/office/drawing/2014/main" id="{56B76DCE-3A87-69B1-6489-D93A6473DA85}"/>
            </a:ext>
          </a:extLst>
        </xdr:cNvPr>
        <xdr:cNvSpPr/>
      </xdr:nvSpPr>
      <xdr:spPr>
        <a:xfrm>
          <a:off x="541020" y="3431540"/>
          <a:ext cx="2159000" cy="0"/>
        </a:xfrm>
        <a:prstGeom prst="rect">
          <a:avLst/>
        </a:prstGeom>
        <a:solidFill>
          <a:srgbClr val="0000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0°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5A093-E745-44B9-AB5F-267E1DA78838}">
  <sheetPr codeName="Sheet1"/>
  <dimension ref="A1:BI213"/>
  <sheetViews>
    <sheetView tabSelected="1" zoomScale="85" zoomScaleNormal="85" workbookViewId="0">
      <selection activeCell="B1" sqref="B1:G1"/>
    </sheetView>
  </sheetViews>
  <sheetFormatPr defaultRowHeight="13.8"/>
  <cols>
    <col min="1" max="1" width="7.88671875" style="13" customWidth="1"/>
    <col min="2" max="2" width="17.77734375" style="13" customWidth="1"/>
    <col min="3" max="3" width="17.88671875" style="13" customWidth="1"/>
    <col min="4" max="4" width="9.33203125" style="13" customWidth="1"/>
    <col min="5" max="6" width="17.77734375" style="13" customWidth="1"/>
    <col min="7" max="7" width="10.6640625" style="13" customWidth="1"/>
    <col min="8" max="8" width="12.6640625" style="13" customWidth="1"/>
    <col min="9" max="10" width="10.5546875" style="23" customWidth="1"/>
    <col min="11" max="11" width="9" style="13" bestFit="1" customWidth="1"/>
    <col min="12" max="12" width="10" style="13" customWidth="1"/>
    <col min="13" max="13" width="10.21875" style="13" customWidth="1"/>
    <col min="14" max="14" width="11.33203125" style="13" customWidth="1"/>
    <col min="15" max="16" width="12.88671875" style="13" customWidth="1"/>
    <col min="17" max="17" width="12.77734375" style="13" customWidth="1"/>
    <col min="18" max="18" width="8.88671875" style="13" customWidth="1"/>
    <col min="19" max="19" width="11.6640625" style="13" bestFit="1" customWidth="1"/>
    <col min="20" max="20" width="10.6640625" style="13" bestFit="1" customWidth="1"/>
    <col min="21" max="21" width="11.44140625" style="13" customWidth="1"/>
    <col min="22" max="22" width="11.109375" style="13" customWidth="1"/>
    <col min="23" max="25" width="9.6640625" style="13" bestFit="1" customWidth="1"/>
    <col min="26" max="26" width="8.88671875" style="13"/>
    <col min="27" max="27" width="10.33203125" style="13" bestFit="1" customWidth="1"/>
    <col min="28" max="28" width="9.6640625" style="13" bestFit="1" customWidth="1"/>
    <col min="29" max="29" width="10.33203125" style="13" bestFit="1" customWidth="1"/>
    <col min="30" max="30" width="8.88671875" style="13"/>
    <col min="31" max="31" width="11.21875" style="13" bestFit="1" customWidth="1"/>
    <col min="32" max="32" width="10.44140625" style="13" bestFit="1" customWidth="1"/>
    <col min="33" max="33" width="10.6640625" style="13" bestFit="1" customWidth="1"/>
    <col min="34" max="34" width="8.88671875" style="13"/>
    <col min="35" max="35" width="11.109375" style="13" customWidth="1"/>
    <col min="36" max="36" width="12.5546875" style="13" customWidth="1"/>
    <col min="37" max="37" width="12.109375" style="13" customWidth="1"/>
    <col min="38" max="38" width="8.88671875" style="13"/>
    <col min="39" max="39" width="9" style="13" bestFit="1" customWidth="1"/>
    <col min="40" max="40" width="8.88671875" style="13"/>
    <col min="41" max="41" width="9" style="13" bestFit="1" customWidth="1"/>
    <col min="42" max="47" width="4.33203125" style="13" customWidth="1"/>
    <col min="48" max="48" width="9.5546875" style="13" customWidth="1"/>
    <col min="49" max="49" width="8.6640625" style="13" customWidth="1"/>
    <col min="50" max="50" width="9" style="13" customWidth="1"/>
    <col min="51" max="51" width="4.33203125" style="13" customWidth="1"/>
    <col min="52" max="52" width="9.109375" style="13" customWidth="1"/>
    <col min="53" max="53" width="7.6640625" style="13" customWidth="1"/>
    <col min="54" max="54" width="8" style="13" customWidth="1"/>
    <col min="55" max="101" width="4.33203125" style="13" customWidth="1"/>
    <col min="102" max="16384" width="8.88671875" style="13"/>
  </cols>
  <sheetData>
    <row r="1" spans="2:56" ht="31.8">
      <c r="B1" s="65" t="s">
        <v>111</v>
      </c>
      <c r="C1" s="65"/>
      <c r="D1" s="65"/>
      <c r="E1" s="65"/>
      <c r="F1" s="65"/>
      <c r="G1" s="65"/>
      <c r="H1" s="81" t="s">
        <v>16</v>
      </c>
      <c r="I1" s="84"/>
      <c r="J1" s="84"/>
      <c r="K1" s="12"/>
      <c r="L1" s="12"/>
      <c r="M1" s="12"/>
      <c r="N1" s="12"/>
    </row>
    <row r="2" spans="2:56" ht="14.4">
      <c r="AV2" s="14"/>
      <c r="AW2" s="14"/>
      <c r="AX2" s="14"/>
      <c r="AZ2" s="14"/>
      <c r="BA2" s="14"/>
      <c r="BB2" s="14"/>
    </row>
    <row r="3" spans="2:56" ht="14.4" customHeight="1">
      <c r="B3" s="69" t="s">
        <v>47</v>
      </c>
      <c r="C3" s="71"/>
      <c r="E3" s="69" t="s">
        <v>48</v>
      </c>
      <c r="F3" s="70"/>
      <c r="G3" s="71"/>
      <c r="T3" s="16"/>
      <c r="AY3" s="17"/>
      <c r="AZ3" s="18"/>
      <c r="BC3" s="17"/>
      <c r="BD3" s="18"/>
    </row>
    <row r="4" spans="2:56" ht="14.4">
      <c r="B4" s="19" t="s">
        <v>30</v>
      </c>
      <c r="C4" s="19" t="s">
        <v>14</v>
      </c>
      <c r="E4" s="19" t="s">
        <v>79</v>
      </c>
      <c r="F4" s="19" t="s">
        <v>78</v>
      </c>
      <c r="G4" s="19" t="s">
        <v>89</v>
      </c>
      <c r="S4" s="14"/>
      <c r="T4" s="14"/>
      <c r="U4" s="14"/>
      <c r="AV4" s="20"/>
      <c r="AZ4" s="20"/>
    </row>
    <row r="5" spans="2:56" ht="14.4">
      <c r="B5" s="66" t="s">
        <v>80</v>
      </c>
      <c r="C5" s="66">
        <v>1275</v>
      </c>
      <c r="E5" s="68">
        <v>6</v>
      </c>
      <c r="F5" s="68">
        <v>6</v>
      </c>
      <c r="G5" s="68">
        <v>44.3</v>
      </c>
      <c r="AV5" s="20"/>
      <c r="AZ5" s="20"/>
    </row>
    <row r="6" spans="2:56" ht="14.4">
      <c r="C6" s="22" t="s">
        <v>12</v>
      </c>
      <c r="E6" s="23"/>
      <c r="O6" s="69" t="s">
        <v>90</v>
      </c>
      <c r="P6" s="70"/>
      <c r="Q6" s="71"/>
      <c r="V6" s="14"/>
      <c r="W6" s="14"/>
      <c r="AV6" s="20"/>
      <c r="AZ6" s="20"/>
    </row>
    <row r="7" spans="2:56" ht="14.4">
      <c r="D7" s="64" t="s">
        <v>46</v>
      </c>
      <c r="E7" s="64"/>
      <c r="F7" s="64"/>
      <c r="G7" s="64"/>
      <c r="I7" s="69" t="s">
        <v>58</v>
      </c>
      <c r="J7" s="71"/>
      <c r="L7" s="69" t="s">
        <v>59</v>
      </c>
      <c r="M7" s="71"/>
      <c r="O7" s="78" t="s">
        <v>60</v>
      </c>
      <c r="P7" s="76" t="s">
        <v>65</v>
      </c>
      <c r="Q7" s="77"/>
      <c r="AV7" s="20"/>
      <c r="AZ7" s="20"/>
    </row>
    <row r="8" spans="2:56" ht="14.4">
      <c r="B8" s="25"/>
      <c r="C8" s="25"/>
      <c r="D8" s="19" t="s">
        <v>13</v>
      </c>
      <c r="E8" s="19" t="s">
        <v>81</v>
      </c>
      <c r="F8" s="19" t="s">
        <v>25</v>
      </c>
      <c r="G8" s="26" t="s">
        <v>17</v>
      </c>
      <c r="I8" s="19" t="s">
        <v>55</v>
      </c>
      <c r="J8" s="19" t="s">
        <v>56</v>
      </c>
      <c r="L8" s="19" t="s">
        <v>52</v>
      </c>
      <c r="M8" s="19" t="s">
        <v>53</v>
      </c>
      <c r="O8" s="79"/>
      <c r="P8" s="19" t="s">
        <v>64</v>
      </c>
      <c r="Q8" s="19" t="s">
        <v>66</v>
      </c>
      <c r="AV8" s="20"/>
      <c r="AZ8" s="20"/>
    </row>
    <row r="9" spans="2:56" ht="14.4">
      <c r="D9" s="75">
        <v>1</v>
      </c>
      <c r="E9" s="67" t="s">
        <v>7</v>
      </c>
      <c r="F9" s="82">
        <v>40.359561818370764</v>
      </c>
      <c r="G9" s="74">
        <v>0.8</v>
      </c>
      <c r="I9" s="85">
        <f>I34</f>
        <v>8.8651033138830153E-4</v>
      </c>
      <c r="J9" s="85">
        <f>J34</f>
        <v>1.2274357565119102E-3</v>
      </c>
      <c r="L9" s="29">
        <f>I32</f>
        <v>24800.233697804801</v>
      </c>
      <c r="M9" s="29">
        <f>J32</f>
        <v>1758.1055785011638</v>
      </c>
      <c r="O9" s="28">
        <f>1/SQRT((L9/M34)^2-(L9*M9/M34^2)+(M9/N34)^2+(K34/O34)^2)</f>
        <v>6.2682761002929768</v>
      </c>
      <c r="P9" s="80">
        <f>1/SQRT((L9/M34)^2+(K34/O34)^2)</f>
        <v>19.354656324919826</v>
      </c>
      <c r="Q9" s="80">
        <f>1/SQRT((M9/N34)^2+(K34/O34)^2)</f>
        <v>6.5980110306490847</v>
      </c>
      <c r="AV9" s="20"/>
      <c r="AZ9" s="20"/>
    </row>
    <row r="10" spans="2:56" ht="14.4">
      <c r="D10" s="75">
        <v>2</v>
      </c>
      <c r="E10" s="67" t="s">
        <v>7</v>
      </c>
      <c r="F10" s="82">
        <f>-F9</f>
        <v>-40.359561818370764</v>
      </c>
      <c r="G10" s="74">
        <f>G9</f>
        <v>0.8</v>
      </c>
      <c r="I10" s="85">
        <f>I38</f>
        <v>8.8651033138830153E-4</v>
      </c>
      <c r="J10" s="85">
        <f>J38</f>
        <v>1.2274357565119102E-3</v>
      </c>
      <c r="L10" s="29">
        <f>I36</f>
        <v>24800.233697804801</v>
      </c>
      <c r="M10" s="29">
        <f>J36</f>
        <v>1758.1055785011638</v>
      </c>
      <c r="O10" s="28">
        <f>1/SQRT((L10/M38)^2-(L10*M10/M38^2)+(M10/N38)^2+(K38/O38)^2)</f>
        <v>6.2682761002929768</v>
      </c>
      <c r="P10" s="80">
        <f>1/SQRT((L10/M38)^2+(K38/O38)^2)</f>
        <v>19.354656324919826</v>
      </c>
      <c r="Q10" s="80">
        <f>1/SQRT((M10/N38)^2+(K38/O38)^2)</f>
        <v>6.5980110306490847</v>
      </c>
      <c r="V10" s="14"/>
      <c r="AV10" s="20"/>
      <c r="AZ10" s="20"/>
    </row>
    <row r="11" spans="2:56" ht="14.4">
      <c r="D11" s="75">
        <v>3</v>
      </c>
      <c r="E11" s="67" t="s">
        <v>7</v>
      </c>
      <c r="F11" s="82">
        <v>39.1869582190401</v>
      </c>
      <c r="G11" s="74">
        <v>0.8</v>
      </c>
      <c r="I11" s="85">
        <f>I42</f>
        <v>8.4396778519118393E-4</v>
      </c>
      <c r="J11" s="85">
        <f>J42</f>
        <v>1.2699783027090277E-3</v>
      </c>
      <c r="L11" s="29">
        <f>I40</f>
        <v>23644.941726178113</v>
      </c>
      <c r="M11" s="29">
        <f>J40</f>
        <v>1793.8772825506001</v>
      </c>
      <c r="O11" s="28">
        <f>1/SQRT((L11/M42)^2-(L11*M11/M36^2)+(M11/N42)^2+(K42/O36)^2)</f>
        <v>6.1599183755790357</v>
      </c>
      <c r="P11" s="80">
        <f>1/SQRT((L11/M42)^2+(K42/O42)^2)</f>
        <v>20.300324930265116</v>
      </c>
      <c r="Q11" s="80">
        <f>1/SQRT((M11/N42)^2+(K42/O42)^2)</f>
        <v>6.4664401031397549</v>
      </c>
      <c r="AV11" s="20"/>
      <c r="AZ11" s="20"/>
    </row>
    <row r="12" spans="2:56" ht="14.4">
      <c r="D12" s="75">
        <v>4</v>
      </c>
      <c r="E12" s="67" t="s">
        <v>7</v>
      </c>
      <c r="F12" s="82">
        <f>-F11</f>
        <v>-39.1869582190401</v>
      </c>
      <c r="G12" s="74">
        <f>G11</f>
        <v>0.8</v>
      </c>
      <c r="I12" s="85">
        <f>I46</f>
        <v>8.4396778519118393E-4</v>
      </c>
      <c r="J12" s="85">
        <f>J46</f>
        <v>1.2699783027090277E-3</v>
      </c>
      <c r="L12" s="29">
        <f>I44</f>
        <v>23644.941726178113</v>
      </c>
      <c r="M12" s="29">
        <f>J44</f>
        <v>1793.8772825506001</v>
      </c>
      <c r="O12" s="28">
        <f>1/SQRT((L12/M46)^2-(L12*M12/M46^2)+(M12/N46)^2+(K46/O46)^2)</f>
        <v>6.1830459065854289</v>
      </c>
      <c r="P12" s="80">
        <f>1/SQRT((L12/M46)^2+(K46/O46)^2)</f>
        <v>20.300324930265116</v>
      </c>
      <c r="Q12" s="80">
        <f>1/SQRT((M12/N46)^2+(K46/O46)^2)</f>
        <v>6.4664401031397549</v>
      </c>
      <c r="AV12" s="20"/>
      <c r="AZ12" s="20"/>
    </row>
    <row r="13" spans="2:56" ht="14.4">
      <c r="D13" s="75">
        <v>5</v>
      </c>
      <c r="E13" s="67" t="s">
        <v>7</v>
      </c>
      <c r="F13" s="82">
        <v>39.642880663730764</v>
      </c>
      <c r="G13" s="74">
        <v>0.8</v>
      </c>
      <c r="I13" s="85">
        <f>I50</f>
        <v>8.6047035246299608E-4</v>
      </c>
      <c r="J13" s="85">
        <f>J50</f>
        <v>1.2534757354372157E-3</v>
      </c>
      <c r="L13" s="29">
        <f>I48</f>
        <v>24093.087998195224</v>
      </c>
      <c r="M13" s="29">
        <f>J48</f>
        <v>1780.0011748590682</v>
      </c>
      <c r="O13" s="28">
        <f>1/SQRT((L13/M50)^2-(L13*M13/M50^2)+(M13/N50)^2+(K50/O50)^2)</f>
        <v>6.2161342583388608</v>
      </c>
      <c r="P13" s="80">
        <f>1/SQRT((L13/M50)^2+(K50/O50)^2)</f>
        <v>19.922726386696407</v>
      </c>
      <c r="Q13" s="80">
        <f>1/SQRT((M13/N50)^2+(K50/O50)^2)</f>
        <v>6.5168496312452833</v>
      </c>
      <c r="AV13" s="20"/>
      <c r="AZ13" s="20"/>
    </row>
    <row r="14" spans="2:56" ht="14.4">
      <c r="D14" s="75">
        <v>6</v>
      </c>
      <c r="E14" s="67" t="s">
        <v>7</v>
      </c>
      <c r="F14" s="82">
        <f>-F13</f>
        <v>-39.642880663730764</v>
      </c>
      <c r="G14" s="74">
        <f>G13</f>
        <v>0.8</v>
      </c>
      <c r="I14" s="85">
        <f>I54</f>
        <v>8.6047035246299608E-4</v>
      </c>
      <c r="J14" s="85">
        <f>J54</f>
        <v>1.2534757354372157E-3</v>
      </c>
      <c r="L14" s="29">
        <f>I52</f>
        <v>24093.087998195224</v>
      </c>
      <c r="M14" s="29">
        <f>J52</f>
        <v>1780.0011748590682</v>
      </c>
      <c r="O14" s="28">
        <f>1/SQRT((L14/M54)^2-(L14*M14/M54^2)+(M14/N54)^2+(K54/O54)^2)</f>
        <v>6.2161342583388608</v>
      </c>
      <c r="P14" s="80">
        <f>1/SQRT((L14/M54)^2+(K54/O54)^2)</f>
        <v>19.922726386696407</v>
      </c>
      <c r="Q14" s="80">
        <f>1/SQRT((M14/N54)^2+(K54/O54)^2)</f>
        <v>6.5168496312452833</v>
      </c>
      <c r="AV14" s="20"/>
      <c r="AW14" s="18"/>
      <c r="AX14" s="18"/>
      <c r="AZ14" s="20"/>
      <c r="BA14" s="18"/>
      <c r="BB14" s="18"/>
    </row>
    <row r="15" spans="2:56" ht="14.4">
      <c r="D15" s="75">
        <v>7</v>
      </c>
      <c r="E15" s="67" t="s">
        <v>7</v>
      </c>
      <c r="F15" s="82">
        <v>75.906081081185704</v>
      </c>
      <c r="G15" s="74">
        <v>0.8</v>
      </c>
      <c r="I15" s="85">
        <f>I58</f>
        <v>1.9885929760546355E-3</v>
      </c>
      <c r="J15" s="85">
        <f>J58</f>
        <v>1.2535311184557637E-4</v>
      </c>
      <c r="L15" s="29">
        <f>I56</f>
        <v>54728.560637916024</v>
      </c>
      <c r="M15" s="29">
        <f>J56</f>
        <v>831.42446213452706</v>
      </c>
      <c r="O15" s="28">
        <f>1/SQRT((L15/M58)^2-(L15*M15/M58^2)+(M15/N58)^2+(K58/O58)^2)</f>
        <v>7.4660532853327135</v>
      </c>
      <c r="P15" s="80">
        <f>1/SQRT((L15/M58)^2+(K58/O58)^2)</f>
        <v>8.7705577198643603</v>
      </c>
      <c r="Q15" s="80">
        <f>1/SQRT((M15/N54)^2+(K54/O54)^2)</f>
        <v>13.951958991202973</v>
      </c>
      <c r="AV15" s="20"/>
      <c r="AW15" s="18"/>
      <c r="AX15" s="18"/>
      <c r="AZ15" s="20"/>
      <c r="BA15" s="18"/>
      <c r="BB15" s="18"/>
    </row>
    <row r="16" spans="2:56" s="14" customFormat="1" ht="13.2" customHeight="1">
      <c r="D16" s="75">
        <v>8</v>
      </c>
      <c r="E16" s="67" t="s">
        <v>7</v>
      </c>
      <c r="F16" s="82">
        <f>-F15</f>
        <v>-75.906081081185704</v>
      </c>
      <c r="G16" s="74">
        <f>G15</f>
        <v>0.8</v>
      </c>
      <c r="H16" s="13"/>
      <c r="I16" s="85">
        <f>I62</f>
        <v>1.9885929760546355E-3</v>
      </c>
      <c r="J16" s="85">
        <f>J62</f>
        <v>1.2535311184557637E-4</v>
      </c>
      <c r="L16" s="29">
        <f>I60</f>
        <v>54728.560637916024</v>
      </c>
      <c r="M16" s="29">
        <f>J60</f>
        <v>831.42446213452706</v>
      </c>
      <c r="O16" s="28">
        <f>1/SQRT((L16/M62)^2-(L16*M16/M62^2)+(M16/N62)^2+(K62/O62)^2)</f>
        <v>7.4660532853327135</v>
      </c>
      <c r="P16" s="80">
        <f>1/SQRT((L16/M62)^2+(K62/O62)^2)</f>
        <v>8.7705577198643603</v>
      </c>
      <c r="Q16" s="80">
        <f>1/SQRT((M16/N62)^2+(K62/O62)^2)</f>
        <v>13.951958991217854</v>
      </c>
      <c r="AV16" s="20"/>
      <c r="AW16" s="18"/>
      <c r="AX16" s="18"/>
      <c r="AZ16" s="20"/>
      <c r="BA16" s="18"/>
      <c r="BB16" s="18"/>
    </row>
    <row r="17" spans="1:61" ht="13.8" customHeight="1">
      <c r="D17" s="75">
        <v>9</v>
      </c>
      <c r="E17" s="67" t="s">
        <v>40</v>
      </c>
      <c r="F17" s="82">
        <v>43.029243378758402</v>
      </c>
      <c r="G17" s="74">
        <v>0.66050012535042768</v>
      </c>
      <c r="I17" s="85">
        <f>I66</f>
        <v>9.8431869020239923E-4</v>
      </c>
      <c r="J17" s="85">
        <f>J66</f>
        <v>1.1296273976978129E-3</v>
      </c>
      <c r="L17" s="29">
        <f>I64</f>
        <v>1.4540735269359811E-3</v>
      </c>
      <c r="M17" s="29">
        <f>J64</f>
        <v>1.5658494557786071E-3</v>
      </c>
      <c r="O17" s="28" t="e">
        <f>1/SQRT((L17/M66)^2-(L17*M17/M66^2)+(M17/N66)^2+(K66/O66)^2)</f>
        <v>#DIV/0!</v>
      </c>
      <c r="P17" s="80" t="e">
        <f>1/SQRT((L17/M66)^2+(K66/O66)^2)</f>
        <v>#DIV/0!</v>
      </c>
      <c r="Q17" s="80" t="e">
        <f>1/SQRT((M17/N66)^2+(K66/O66)^2)</f>
        <v>#DIV/0!</v>
      </c>
      <c r="AV17" s="20"/>
      <c r="AW17" s="18"/>
      <c r="AX17" s="18"/>
      <c r="AZ17" s="20"/>
      <c r="BA17" s="18"/>
      <c r="BB17" s="18"/>
    </row>
    <row r="18" spans="1:61" ht="13.8" customHeight="1">
      <c r="D18" s="75">
        <v>10</v>
      </c>
      <c r="E18" s="67" t="s">
        <v>40</v>
      </c>
      <c r="F18" s="82">
        <f>-F17</f>
        <v>-43.029243378758402</v>
      </c>
      <c r="G18" s="74">
        <f>G17</f>
        <v>0.66050012535042768</v>
      </c>
      <c r="I18" s="85">
        <f>I70</f>
        <v>9.8431869020239923E-4</v>
      </c>
      <c r="J18" s="85">
        <f>J70</f>
        <v>1.1296273976978129E-3</v>
      </c>
      <c r="L18" s="29">
        <f>I68</f>
        <v>1.4540735269359811E-3</v>
      </c>
      <c r="M18" s="29">
        <f>J68</f>
        <v>1.5658494557786071E-3</v>
      </c>
      <c r="O18" s="28" t="e">
        <f>1/SQRT((L18/M70)^2-(L18*M18/M70^2)+(M18/N70)^2+(K70/O70)^2)</f>
        <v>#DIV/0!</v>
      </c>
      <c r="P18" s="80" t="e">
        <f>1/SQRT((L18/M70)^2+(K70/O70)^2)</f>
        <v>#DIV/0!</v>
      </c>
      <c r="Q18" s="80" t="e">
        <f>1/SQRT((M18/N70)^2+(K70/O70)^2)</f>
        <v>#DIV/0!</v>
      </c>
      <c r="AV18" s="20"/>
      <c r="AW18" s="18"/>
      <c r="AX18" s="18"/>
      <c r="AZ18" s="20"/>
      <c r="BA18" s="18"/>
      <c r="BB18" s="18"/>
    </row>
    <row r="19" spans="1:61" ht="13.8" customHeight="1">
      <c r="D19" s="75">
        <v>11</v>
      </c>
      <c r="E19" s="67" t="s">
        <v>40</v>
      </c>
      <c r="F19" s="82">
        <v>0</v>
      </c>
      <c r="G19" s="74">
        <v>0</v>
      </c>
      <c r="H19" s="20"/>
      <c r="I19" s="85">
        <f>I74</f>
        <v>7.0788311627364986E-11</v>
      </c>
      <c r="J19" s="85">
        <f>J74</f>
        <v>2.1139460171119002E-3</v>
      </c>
      <c r="L19" s="29">
        <f>I72</f>
        <v>6.9690535815591394E-4</v>
      </c>
      <c r="M19" s="29">
        <f>J72</f>
        <v>2.323017624558674E-3</v>
      </c>
      <c r="O19" s="28" t="e">
        <f>1/SQRT((L19/M74)^2-(L19*M19/M74^2)+(M19/N74)^2+(K74/O74)^2)</f>
        <v>#DIV/0!</v>
      </c>
      <c r="P19" s="80" t="e">
        <f>MIN(1/SQRT((L19/M74)^2+(K74/O74)^2),1/SQRT((M19/N74)^2+(K74/O74)^2))</f>
        <v>#DIV/0!</v>
      </c>
      <c r="Q19" s="80" t="e">
        <f>1/SQRT((M19/N74)^2+(K74/O74)^2)</f>
        <v>#DIV/0!</v>
      </c>
      <c r="AV19" s="20"/>
      <c r="AW19" s="18"/>
      <c r="AX19" s="18"/>
      <c r="AZ19" s="20"/>
      <c r="BA19" s="18"/>
      <c r="BB19" s="18"/>
    </row>
    <row r="20" spans="1:61" ht="13.8" customHeight="1">
      <c r="D20" s="75">
        <v>12</v>
      </c>
      <c r="E20" s="67" t="s">
        <v>40</v>
      </c>
      <c r="F20" s="83">
        <f>-F19</f>
        <v>0</v>
      </c>
      <c r="G20" s="74">
        <f>G19</f>
        <v>0</v>
      </c>
      <c r="I20" s="85">
        <f>I78</f>
        <v>7.0788311627364986E-11</v>
      </c>
      <c r="J20" s="85">
        <f>J78</f>
        <v>2.1139460171119002E-3</v>
      </c>
      <c r="L20" s="29">
        <f>I76</f>
        <v>6.9690535815591394E-4</v>
      </c>
      <c r="M20" s="29">
        <f>J76</f>
        <v>2.323017624558674E-3</v>
      </c>
      <c r="O20" s="28" t="e">
        <f>1/SQRT((L20/M78)^2-(L20*M20/M78^2)+(M20/N78)^2+(K78/O78)^2)</f>
        <v>#DIV/0!</v>
      </c>
      <c r="P20" s="80" t="e">
        <f>MIN(1/SQRT((L20/M78)^2+(K78/O78)^2),1/SQRT((M20/N78)^2+(K78/O78)^2))</f>
        <v>#DIV/0!</v>
      </c>
      <c r="Q20" s="80" t="e">
        <f>1/SQRT((M20/N78)^2+(K78/O78)^2)</f>
        <v>#DIV/0!</v>
      </c>
      <c r="V20" s="14"/>
      <c r="AV20" s="20"/>
      <c r="AW20" s="18"/>
      <c r="AX20" s="18"/>
      <c r="AZ20" s="20"/>
      <c r="BA20" s="18"/>
      <c r="BB20" s="18"/>
    </row>
    <row r="21" spans="1:61" ht="13.8" customHeight="1">
      <c r="AV21" s="20"/>
      <c r="AW21" s="18"/>
      <c r="AX21" s="18"/>
      <c r="AZ21" s="20"/>
      <c r="BA21" s="18"/>
      <c r="BB21" s="18"/>
    </row>
    <row r="22" spans="1:61" ht="13.8" customHeight="1">
      <c r="B22" s="69" t="s">
        <v>87</v>
      </c>
      <c r="C22" s="71"/>
      <c r="D22" s="16"/>
      <c r="E22" s="69" t="s">
        <v>86</v>
      </c>
      <c r="F22" s="70"/>
      <c r="H22" s="69" t="s">
        <v>88</v>
      </c>
      <c r="I22" s="70"/>
      <c r="J22" s="71"/>
      <c r="O22" s="64" t="s">
        <v>68</v>
      </c>
      <c r="P22" s="64"/>
      <c r="Q22" s="64"/>
      <c r="AV22" s="20"/>
      <c r="AW22" s="18"/>
      <c r="AX22" s="18"/>
      <c r="AZ22" s="20"/>
      <c r="BA22" s="18"/>
      <c r="BB22" s="18"/>
    </row>
    <row r="23" spans="1:61" ht="13.8" customHeight="1">
      <c r="B23" s="19" t="s">
        <v>76</v>
      </c>
      <c r="C23" s="19" t="s">
        <v>77</v>
      </c>
      <c r="E23" s="19" t="s">
        <v>82</v>
      </c>
      <c r="F23" s="19" t="s">
        <v>83</v>
      </c>
      <c r="H23" s="19" t="s">
        <v>30</v>
      </c>
      <c r="I23" s="19" t="s">
        <v>43</v>
      </c>
      <c r="J23" s="19" t="s">
        <v>44</v>
      </c>
      <c r="O23" s="30" t="s">
        <v>67</v>
      </c>
      <c r="P23" s="24" t="s">
        <v>71</v>
      </c>
      <c r="Q23" s="24"/>
      <c r="AV23" s="20"/>
      <c r="AW23" s="18"/>
      <c r="AX23" s="18"/>
      <c r="AZ23" s="20"/>
      <c r="BA23" s="18"/>
      <c r="BB23" s="18"/>
    </row>
    <row r="24" spans="1:61" ht="13.8" customHeight="1">
      <c r="B24" s="5">
        <f>C5*E5/4</f>
        <v>1912.5</v>
      </c>
      <c r="C24" s="5">
        <f>C5*E5/2</f>
        <v>3825</v>
      </c>
      <c r="E24" s="11">
        <f>F94</f>
        <v>7.0788311627364986E-11</v>
      </c>
      <c r="F24" s="11">
        <f>F95</f>
        <v>2.1139460171119002E-3</v>
      </c>
      <c r="H24" s="5" t="str">
        <f>B86</f>
        <v>SYMMETRIC</v>
      </c>
      <c r="I24" s="6">
        <f>D86</f>
        <v>5701138.6636659652</v>
      </c>
      <c r="J24" s="6">
        <f>E86</f>
        <v>7198938.1462130975</v>
      </c>
      <c r="O24" s="28">
        <f t="array" ref="O24">MIN((IF(ISNUMBER(O9:Q20),O9:Q20)))</f>
        <v>6.1599183755790357</v>
      </c>
      <c r="P24" s="31">
        <f>O24*C5</f>
        <v>7853.8959288632705</v>
      </c>
      <c r="Q24" s="31"/>
      <c r="AV24" s="20"/>
      <c r="AW24" s="18"/>
      <c r="AX24" s="18"/>
      <c r="AZ24" s="20"/>
      <c r="BA24" s="18"/>
      <c r="BB24" s="18"/>
    </row>
    <row r="25" spans="1:61" ht="13.8" customHeight="1">
      <c r="B25" s="22" t="s">
        <v>42</v>
      </c>
      <c r="C25" s="22" t="s">
        <v>42</v>
      </c>
      <c r="I25" s="22" t="s">
        <v>12</v>
      </c>
      <c r="J25" s="22" t="s">
        <v>12</v>
      </c>
      <c r="P25" s="32" t="s">
        <v>12</v>
      </c>
      <c r="Q25" s="32"/>
      <c r="AV25" s="20"/>
      <c r="AW25" s="18"/>
      <c r="AX25" s="18"/>
      <c r="AZ25" s="20"/>
      <c r="BA25" s="18"/>
      <c r="BB25" s="18"/>
    </row>
    <row r="26" spans="1:61" ht="13.8" customHeight="1">
      <c r="B26" s="19" t="s">
        <v>75</v>
      </c>
      <c r="C26" s="19" t="s">
        <v>74</v>
      </c>
      <c r="E26" s="19" t="s">
        <v>84</v>
      </c>
      <c r="F26" s="19" t="s">
        <v>85</v>
      </c>
      <c r="H26" s="19" t="s">
        <v>1</v>
      </c>
      <c r="I26" s="19" t="s">
        <v>34</v>
      </c>
      <c r="J26" s="19" t="s">
        <v>49</v>
      </c>
      <c r="O26" s="19"/>
      <c r="P26" s="19"/>
      <c r="Q26" s="22" t="s">
        <v>12</v>
      </c>
      <c r="AA26" s="89">
        <v>1</v>
      </c>
      <c r="AB26" s="89">
        <v>0</v>
      </c>
      <c r="AC26" s="89">
        <v>0</v>
      </c>
      <c r="AD26" s="61"/>
      <c r="AV26" s="20"/>
      <c r="AW26" s="33"/>
      <c r="AX26" s="33"/>
      <c r="AZ26" s="20"/>
      <c r="BA26" s="33"/>
      <c r="BB26" s="33"/>
    </row>
    <row r="27" spans="1:61" s="19" customFormat="1" ht="13.8" customHeight="1">
      <c r="B27" s="5">
        <f>B24/H27</f>
        <v>11119.186046511626</v>
      </c>
      <c r="C27" s="5">
        <f>C24/H27</f>
        <v>22238.372093023252</v>
      </c>
      <c r="D27" s="13"/>
      <c r="E27" s="7">
        <f>E24*G5/2*1000</f>
        <v>1.5679611025461342E-6</v>
      </c>
      <c r="F27" s="7">
        <f>F24*E5/2*1000</f>
        <v>6.3418380513357002</v>
      </c>
      <c r="H27" s="4">
        <f>C86</f>
        <v>0.17200000000000004</v>
      </c>
      <c r="I27" s="4">
        <f>F86</f>
        <v>0.49999998185235972</v>
      </c>
      <c r="J27" s="5">
        <f>(E5/2)/(SQRT(ABS(E29)+F29*H27))</f>
        <v>90.834147670486217</v>
      </c>
      <c r="AA27" s="90">
        <v>0</v>
      </c>
      <c r="AB27" s="90">
        <v>1</v>
      </c>
      <c r="AC27" s="90">
        <v>0</v>
      </c>
      <c r="AD27" s="90"/>
      <c r="AE27" s="34"/>
      <c r="AF27" s="34"/>
      <c r="AV27" s="20"/>
      <c r="AW27" s="18"/>
      <c r="AX27" s="18"/>
      <c r="AZ27" s="20"/>
      <c r="BA27" s="18"/>
      <c r="BB27" s="18"/>
    </row>
    <row r="28" spans="1:61" s="23" customFormat="1" ht="13.8" customHeight="1">
      <c r="B28" s="22" t="s">
        <v>12</v>
      </c>
      <c r="C28" s="22" t="s">
        <v>12</v>
      </c>
      <c r="E28" s="22" t="s">
        <v>39</v>
      </c>
      <c r="F28" s="22" t="s">
        <v>39</v>
      </c>
      <c r="H28" s="22" t="s">
        <v>15</v>
      </c>
      <c r="J28" s="22"/>
      <c r="AA28" s="89">
        <v>0</v>
      </c>
      <c r="AB28" s="89">
        <v>0</v>
      </c>
      <c r="AC28" s="89">
        <v>2</v>
      </c>
      <c r="AD28" s="89"/>
      <c r="AE28" s="35"/>
      <c r="AF28" s="35"/>
      <c r="AG28" s="19"/>
      <c r="AI28" s="19"/>
      <c r="AV28" s="20"/>
      <c r="AW28" s="18"/>
      <c r="AX28" s="18"/>
      <c r="AZ28" s="20"/>
      <c r="BA28" s="18"/>
      <c r="BB28" s="18"/>
    </row>
    <row r="29" spans="1:61" ht="14.4" customHeight="1">
      <c r="E29" s="88">
        <f>E27/1000</f>
        <v>1.5679611025461343E-9</v>
      </c>
      <c r="F29" s="88">
        <f>F27/1000</f>
        <v>6.3418380513357003E-3</v>
      </c>
      <c r="AE29" s="23"/>
      <c r="AG29" s="36"/>
      <c r="AV29" s="20"/>
      <c r="AZ29" s="20"/>
      <c r="BI29" s="23"/>
    </row>
    <row r="30" spans="1:61" ht="13.8" customHeight="1">
      <c r="B30" s="15" t="s">
        <v>45</v>
      </c>
      <c r="C30" s="15"/>
      <c r="D30" s="15"/>
      <c r="E30" s="15"/>
      <c r="F30" s="15"/>
      <c r="G30" s="15"/>
      <c r="AV30" s="20"/>
      <c r="AZ30" s="20"/>
    </row>
    <row r="31" spans="1:61" ht="13.8" customHeight="1">
      <c r="A31" s="14" t="s">
        <v>13</v>
      </c>
      <c r="B31" s="30" t="s">
        <v>0</v>
      </c>
      <c r="C31" s="30" t="s">
        <v>25</v>
      </c>
      <c r="D31" s="30" t="s">
        <v>91</v>
      </c>
      <c r="E31" s="30" t="s">
        <v>18</v>
      </c>
      <c r="F31" s="30" t="s">
        <v>17</v>
      </c>
      <c r="G31" s="30" t="s">
        <v>19</v>
      </c>
      <c r="I31" s="30" t="s">
        <v>52</v>
      </c>
      <c r="J31" s="30" t="s">
        <v>53</v>
      </c>
      <c r="K31" s="14" t="s">
        <v>54</v>
      </c>
      <c r="L31" s="14"/>
      <c r="M31" s="30" t="s">
        <v>22</v>
      </c>
      <c r="N31" s="30" t="s">
        <v>23</v>
      </c>
      <c r="O31" s="30" t="s">
        <v>21</v>
      </c>
      <c r="P31" s="30" t="s">
        <v>20</v>
      </c>
      <c r="Q31" s="30" t="s">
        <v>24</v>
      </c>
      <c r="R31" s="30"/>
      <c r="S31" s="30" t="s">
        <v>73</v>
      </c>
      <c r="T31" s="30"/>
      <c r="U31" s="30"/>
      <c r="V31" s="14"/>
      <c r="W31" s="30" t="s">
        <v>26</v>
      </c>
      <c r="X31" s="30"/>
      <c r="Y31" s="30"/>
      <c r="Z31" s="14"/>
      <c r="AA31" s="30" t="s">
        <v>72</v>
      </c>
      <c r="AB31" s="30"/>
      <c r="AC31" s="30"/>
      <c r="AD31" s="14"/>
      <c r="AE31" s="30" t="s">
        <v>27</v>
      </c>
      <c r="AF31" s="30"/>
      <c r="AG31" s="30"/>
      <c r="AH31" s="14"/>
      <c r="AI31" s="30" t="s">
        <v>28</v>
      </c>
      <c r="AJ31" s="30"/>
      <c r="AK31" s="30"/>
      <c r="AM31" s="37" t="s">
        <v>50</v>
      </c>
      <c r="AO31" s="37" t="s">
        <v>51</v>
      </c>
      <c r="AV31" s="20"/>
      <c r="AZ31" s="20"/>
    </row>
    <row r="32" spans="1:61" ht="13.8" customHeight="1">
      <c r="A32" s="38">
        <v>1</v>
      </c>
      <c r="B32" s="21">
        <f>_xlfn.XLOOKUP(D32,Materials!$B$3:$H$3,Materials!$B$2:$H$2,"## ##")</f>
        <v>5</v>
      </c>
      <c r="C32" s="21">
        <f>F9</f>
        <v>40.359561818370764</v>
      </c>
      <c r="D32" s="72" t="str">
        <f>E9</f>
        <v>IM10/UF3376</v>
      </c>
      <c r="E32" s="39">
        <f>_xlfn.XLOOKUP(B32,Materials!$B$2:$H$2,Materials!B$18:H$18,"## ##")</f>
        <v>4.3E-3</v>
      </c>
      <c r="F32" s="27">
        <f>G9</f>
        <v>0.8</v>
      </c>
      <c r="G32" s="39">
        <f>E32/(1-F32)</f>
        <v>2.1500000000000005E-2</v>
      </c>
      <c r="I32" s="54">
        <f>AO32</f>
        <v>24800.233697804801</v>
      </c>
      <c r="J32" s="54">
        <f>AO33</f>
        <v>1758.1055785011638</v>
      </c>
      <c r="K32" s="40">
        <f>AO34</f>
        <v>-730.19574191724234</v>
      </c>
      <c r="M32" s="41">
        <f>_xlfn.XLOOKUP($B32,Materials!$B$2:$H$2,Materials!$B$6:$H$6,"## ##")</f>
        <v>27400000</v>
      </c>
      <c r="N32" s="41">
        <f>_xlfn.XLOOKUP($B32,Materials!B$2:H$2,Materials!B$7:H$7,"## ##")</f>
        <v>1180000</v>
      </c>
      <c r="O32" s="42">
        <f>_xlfn.XLOOKUP($B32,Materials!B$2:H$2,Materials!B$8:H$8,"## ##")</f>
        <v>0.28999999999999998</v>
      </c>
      <c r="P32" s="41">
        <f>_xlfn.XLOOKUP($B32,Materials!B$2:H$2,Materials!B$9:H$9,"## ##")</f>
        <v>700000</v>
      </c>
      <c r="Q32" s="43">
        <f>(N32/M32)*O32</f>
        <v>1.2489051094890511E-2</v>
      </c>
      <c r="S32" s="44" cm="1">
        <f t="array" ref="S32:U34">MINVERSE(AA32:AC34)</f>
        <v>0.58063721442748328</v>
      </c>
      <c r="T32" s="44">
        <v>0.41936278557251672</v>
      </c>
      <c r="U32" s="44">
        <v>0.98690960001284023</v>
      </c>
      <c r="V32" s="45"/>
      <c r="W32" s="46">
        <f>M32/(1-O32*Q32)</f>
        <v>27499598.729149025</v>
      </c>
      <c r="X32" s="46">
        <f>Q32*M32/(1-O32*Q32)</f>
        <v>343443.89361732837</v>
      </c>
      <c r="Y32" s="46">
        <v>0</v>
      </c>
      <c r="Z32" s="47"/>
      <c r="AA32" s="44">
        <f>COS(RADIANS($C32))^2</f>
        <v>0.58063721442748328</v>
      </c>
      <c r="AB32" s="44">
        <f>SIN(RADIANS($C32))^2</f>
        <v>0.41936278557251666</v>
      </c>
      <c r="AC32" s="44">
        <f>-2*COS(RADIANS($C32))*SIN(RADIANS($C32))</f>
        <v>-0.98690960001284023</v>
      </c>
      <c r="AD32" s="45"/>
      <c r="AE32" s="46" cm="1">
        <f t="array" ref="AE32:AG34">MMULT(MMULT(_xlfn.ANCHORARRAY(S32),W32:Y34),MMULT(AA$26:AC$28,AA32:AC34))</f>
        <v>10328527.176536109</v>
      </c>
      <c r="AF32" s="46">
        <v>6478853.9759279834</v>
      </c>
      <c r="AG32" s="46">
        <v>-14990634.384750986</v>
      </c>
      <c r="AH32" s="48"/>
      <c r="AI32" s="46" cm="1">
        <f t="array" ref="AI32:AK34">G32*(_xlfn.ANCHORARRAY(AE32))</f>
        <v>222063.33429552641</v>
      </c>
      <c r="AJ32" s="46">
        <v>139295.36048245168</v>
      </c>
      <c r="AK32" s="46">
        <v>-322298.63927214628</v>
      </c>
      <c r="AM32" s="49" cm="1">
        <f t="array" ref="AM32:AM34">MMULT(AA32:AC34,_xlfn.ANCHORARRAY($F$94))</f>
        <v>8.8651033138830153E-4</v>
      </c>
      <c r="AO32" s="40" cm="1">
        <f t="array" ref="AO32:AO34">MMULT(W32:Y34,_xlfn.ANCHORARRAY($AM32))</f>
        <v>24800.233697804801</v>
      </c>
      <c r="AV32" s="20"/>
      <c r="AZ32" s="20"/>
    </row>
    <row r="33" spans="1:52" ht="13.8" customHeight="1">
      <c r="A33" s="38"/>
      <c r="D33" s="73"/>
      <c r="G33" s="30"/>
      <c r="I33" s="30" t="s">
        <v>55</v>
      </c>
      <c r="J33" s="30" t="s">
        <v>56</v>
      </c>
      <c r="K33" s="30" t="s">
        <v>57</v>
      </c>
      <c r="M33" s="30" t="s">
        <v>61</v>
      </c>
      <c r="N33" s="30" t="s">
        <v>62</v>
      </c>
      <c r="O33" s="30" t="s">
        <v>63</v>
      </c>
      <c r="P33" s="30" t="s">
        <v>55</v>
      </c>
      <c r="Q33" s="30" t="s">
        <v>56</v>
      </c>
      <c r="S33" s="44">
        <v>0.41936278557251672</v>
      </c>
      <c r="T33" s="44">
        <v>0.58063721442748339</v>
      </c>
      <c r="U33" s="44">
        <v>-0.98690960001284023</v>
      </c>
      <c r="V33" s="45" t="s">
        <v>29</v>
      </c>
      <c r="W33" s="46">
        <f>O32*N32/(1-O32*Q32)</f>
        <v>343443.89361732837</v>
      </c>
      <c r="X33" s="46">
        <f>N32/(1-O32*Q32)</f>
        <v>1184289.2883356151</v>
      </c>
      <c r="Y33" s="46">
        <v>0</v>
      </c>
      <c r="Z33" s="47" t="s">
        <v>29</v>
      </c>
      <c r="AA33" s="44">
        <f>SIN(RADIANS($C32))^2</f>
        <v>0.41936278557251666</v>
      </c>
      <c r="AB33" s="44">
        <f>COS(RADIANS($C32))^2</f>
        <v>0.58063721442748328</v>
      </c>
      <c r="AC33" s="44">
        <f>2*COS(RADIANS($C32))*SIN(RADIANS($C32))</f>
        <v>0.98690960001284023</v>
      </c>
      <c r="AD33" s="45" t="str">
        <f>"="</f>
        <v>=</v>
      </c>
      <c r="AE33" s="46">
        <v>6478853.9759279853</v>
      </c>
      <c r="AF33" s="46">
        <v>6084540.6763272164</v>
      </c>
      <c r="AG33" s="46">
        <v>-10980197.129696293</v>
      </c>
      <c r="AH33" s="48" t="str">
        <f>"==&gt;"</f>
        <v>==&gt;</v>
      </c>
      <c r="AI33" s="46">
        <v>139295.36048245171</v>
      </c>
      <c r="AJ33" s="46">
        <v>130817.62454103518</v>
      </c>
      <c r="AK33" s="46">
        <v>-236074.23828847034</v>
      </c>
      <c r="AM33" s="49">
        <v>1.2274357565119102E-3</v>
      </c>
      <c r="AO33" s="40">
        <v>1758.1055785011638</v>
      </c>
      <c r="AV33" s="20"/>
      <c r="AZ33" s="20"/>
    </row>
    <row r="34" spans="1:52" ht="13.8" customHeight="1">
      <c r="A34" s="38"/>
      <c r="I34" s="86">
        <f>AM32</f>
        <v>8.8651033138830153E-4</v>
      </c>
      <c r="J34" s="86">
        <f>AM33</f>
        <v>1.2274357565119102E-3</v>
      </c>
      <c r="K34" s="50">
        <f>AM34</f>
        <v>-1.0431367741674891E-3</v>
      </c>
      <c r="M34" s="51">
        <f>_xlfn.XLOOKUP($B32,Materials!$B$2:$H$2,Materials!$B$11:$H$11,"## ##")</f>
        <v>480000</v>
      </c>
      <c r="N34" s="51">
        <f>_xlfn.XLOOKUP($B32,Materials!$B$2:$H$2,Materials!$B$12:$H$12,"## ##")</f>
        <v>11600</v>
      </c>
      <c r="O34" s="51">
        <f>_xlfn.XLOOKUP($B32,Materials!$B$2:$H$2,Materials!$B$13:$H$13,"## ##")</f>
        <v>8700</v>
      </c>
      <c r="P34" s="51">
        <f>_xlfn.XLOOKUP($B32,Materials!$B$2:$H$2,Materials!$B$14:$H$14,"## ##")</f>
        <v>2.1899999999999999E-2</v>
      </c>
      <c r="Q34" s="51">
        <f>_xlfn.XLOOKUP($B32,Materials!$B$2:$H$2,Materials!$B$15:$H$15,"## ##")</f>
        <v>0</v>
      </c>
      <c r="S34" s="44">
        <v>-0.49345480000642017</v>
      </c>
      <c r="T34" s="44">
        <v>0.49345480000642017</v>
      </c>
      <c r="U34" s="44">
        <v>0.16127442885496665</v>
      </c>
      <c r="V34" s="45"/>
      <c r="W34" s="46">
        <v>0</v>
      </c>
      <c r="X34" s="46">
        <v>0</v>
      </c>
      <c r="Y34" s="46">
        <f>P32</f>
        <v>700000</v>
      </c>
      <c r="Z34" s="47"/>
      <c r="AA34" s="44">
        <f>COS(RADIANS($C32))*SIN(RADIANS($C32))</f>
        <v>0.49345480000642011</v>
      </c>
      <c r="AB34" s="44">
        <f>-COS(RADIANS($C32))*SIN(RADIANS($C32))</f>
        <v>-0.49345480000642011</v>
      </c>
      <c r="AC34" s="44">
        <f>COS(RADIANS($C32))^2-SIN(RADIANS($C32))^2</f>
        <v>0.16127442885496662</v>
      </c>
      <c r="AD34" s="45"/>
      <c r="AE34" s="46">
        <v>-7495317.1923754942</v>
      </c>
      <c r="AF34" s="46">
        <v>-5490098.5648481464</v>
      </c>
      <c r="AG34" s="46">
        <v>13670820.164621314</v>
      </c>
      <c r="AH34" s="48"/>
      <c r="AI34" s="46">
        <v>-161149.31963607317</v>
      </c>
      <c r="AJ34" s="46">
        <v>-118037.11914423517</v>
      </c>
      <c r="AK34" s="46">
        <v>293922.63353935833</v>
      </c>
      <c r="AM34" s="49">
        <v>-1.0431367741674891E-3</v>
      </c>
      <c r="AO34" s="40">
        <v>-730.19574191724234</v>
      </c>
      <c r="AV34" s="20"/>
      <c r="AZ34" s="20"/>
    </row>
    <row r="35" spans="1:52" ht="13.8" customHeight="1">
      <c r="A35" s="38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V35" s="20"/>
      <c r="AZ35" s="20"/>
    </row>
    <row r="36" spans="1:52" ht="13.8" customHeight="1">
      <c r="A36" s="38">
        <v>2</v>
      </c>
      <c r="B36" s="21">
        <f>_xlfn.XLOOKUP(D36,Materials!$B$3:$H$3,Materials!$B$2:$H$2,"## ##")</f>
        <v>5</v>
      </c>
      <c r="C36" s="21">
        <f>F10</f>
        <v>-40.359561818370764</v>
      </c>
      <c r="D36" s="72" t="str">
        <f>E10</f>
        <v>IM10/UF3376</v>
      </c>
      <c r="E36" s="39">
        <f>_xlfn.XLOOKUP(B36,Materials!$B$2:$H$2,Materials!B$18:H$18,"## ##")</f>
        <v>4.3E-3</v>
      </c>
      <c r="F36" s="27">
        <f>G10</f>
        <v>0.8</v>
      </c>
      <c r="G36" s="39">
        <f>E36/(1-F36)</f>
        <v>2.1500000000000005E-2</v>
      </c>
      <c r="I36" s="54">
        <f>AO36</f>
        <v>24800.233697804801</v>
      </c>
      <c r="J36" s="54">
        <f>AO37</f>
        <v>1758.1055785011638</v>
      </c>
      <c r="K36" s="40">
        <f>AO38</f>
        <v>730.19574191724234</v>
      </c>
      <c r="M36" s="41">
        <f>_xlfn.XLOOKUP($B36,Materials!$B$2:$H$2,Materials!$B$6:$H$6,"## ##")</f>
        <v>27400000</v>
      </c>
      <c r="N36" s="41">
        <f>_xlfn.XLOOKUP($B36,Materials!B$2:H$2,Materials!B$7:H$7,"## ##")</f>
        <v>1180000</v>
      </c>
      <c r="O36" s="42">
        <f>_xlfn.XLOOKUP($B36,Materials!B$2:H$2,Materials!B$8:H$8,"## ##")</f>
        <v>0.28999999999999998</v>
      </c>
      <c r="P36" s="41">
        <f>_xlfn.XLOOKUP($B36,Materials!B$2:H$2,Materials!B$9:H$9,"## ##")</f>
        <v>700000</v>
      </c>
      <c r="Q36" s="43">
        <f>(N36*O36)/M36</f>
        <v>1.2489051094890511E-2</v>
      </c>
      <c r="S36" s="44" cm="1">
        <f t="array" ref="S36:U38">MINVERSE(AA36:AC38)</f>
        <v>0.58063721442748328</v>
      </c>
      <c r="T36" s="44">
        <v>0.41936278557251672</v>
      </c>
      <c r="U36" s="44">
        <v>-0.98690960001284023</v>
      </c>
      <c r="V36" s="45"/>
      <c r="W36" s="46">
        <f>M36/(1-O36*Q36)</f>
        <v>27499598.729149025</v>
      </c>
      <c r="X36" s="46">
        <f>Q36*M36/(1-O36*Q36)</f>
        <v>343443.89361732837</v>
      </c>
      <c r="Y36" s="46">
        <v>0</v>
      </c>
      <c r="Z36" s="47"/>
      <c r="AA36" s="44">
        <f>COS(RADIANS($C36))^2</f>
        <v>0.58063721442748328</v>
      </c>
      <c r="AB36" s="44">
        <f>SIN(RADIANS($C36))^2</f>
        <v>0.41936278557251666</v>
      </c>
      <c r="AC36" s="44">
        <f>-2*COS(RADIANS($C36))*SIN(RADIANS($C36))</f>
        <v>0.98690960001284023</v>
      </c>
      <c r="AD36" s="45"/>
      <c r="AE36" s="46" cm="1">
        <f t="array" ref="AE36:AG38">MMULT(MMULT(_xlfn.ANCHORARRAY(S36),W36:Y38),MMULT(AA$26:AC$28,AA36:AC38))</f>
        <v>10328527.176536109</v>
      </c>
      <c r="AF36" s="46">
        <v>6478853.9759279834</v>
      </c>
      <c r="AG36" s="46">
        <v>14990634.384750986</v>
      </c>
      <c r="AH36" s="48"/>
      <c r="AI36" s="46" cm="1">
        <f t="array" ref="AI36:AK38">G36*(_xlfn.ANCHORARRAY(AE36))</f>
        <v>222063.33429552641</v>
      </c>
      <c r="AJ36" s="46">
        <v>139295.36048245168</v>
      </c>
      <c r="AK36" s="46">
        <v>322298.63927214628</v>
      </c>
      <c r="AM36" s="49" cm="1">
        <f t="array" ref="AM36:AM38">MMULT(AA36:AC38,_xlfn.ANCHORARRAY($F$94))</f>
        <v>8.8651033138830153E-4</v>
      </c>
      <c r="AO36" s="40" cm="1">
        <f t="array" ref="AO36:AO38">MMULT(W36:Y38,_xlfn.ANCHORARRAY($AM36))</f>
        <v>24800.233697804801</v>
      </c>
      <c r="AV36" s="20"/>
      <c r="AZ36" s="20"/>
    </row>
    <row r="37" spans="1:52" ht="13.8" customHeight="1">
      <c r="A37" s="38"/>
      <c r="D37" s="73"/>
      <c r="I37" s="30"/>
      <c r="J37" s="30"/>
      <c r="K37" s="30"/>
      <c r="S37" s="44">
        <v>0.41936278557251672</v>
      </c>
      <c r="T37" s="44">
        <v>0.58063721442748339</v>
      </c>
      <c r="U37" s="44">
        <v>0.98690960001284023</v>
      </c>
      <c r="V37" s="45" t="s">
        <v>29</v>
      </c>
      <c r="W37" s="46">
        <f>O36*N36/(1-O36*Q36)</f>
        <v>343443.89361732837</v>
      </c>
      <c r="X37" s="46">
        <f>N36/(1-O36*Q36)</f>
        <v>1184289.2883356151</v>
      </c>
      <c r="Y37" s="46">
        <v>0</v>
      </c>
      <c r="Z37" s="47" t="s">
        <v>29</v>
      </c>
      <c r="AA37" s="44">
        <f>SIN(RADIANS($C36))^2</f>
        <v>0.41936278557251666</v>
      </c>
      <c r="AB37" s="44">
        <f>COS(RADIANS($C36))^2</f>
        <v>0.58063721442748328</v>
      </c>
      <c r="AC37" s="44">
        <f>2*COS(RADIANS($C36))*SIN(RADIANS($C36))</f>
        <v>-0.98690960001284023</v>
      </c>
      <c r="AD37" s="45" t="str">
        <f>"="</f>
        <v>=</v>
      </c>
      <c r="AE37" s="46">
        <v>6478853.9759279853</v>
      </c>
      <c r="AF37" s="46">
        <v>6084540.6763272164</v>
      </c>
      <c r="AG37" s="46">
        <v>10980197.129696293</v>
      </c>
      <c r="AH37" s="48" t="str">
        <f>"==&gt;"</f>
        <v>==&gt;</v>
      </c>
      <c r="AI37" s="46">
        <v>139295.36048245171</v>
      </c>
      <c r="AJ37" s="46">
        <v>130817.62454103518</v>
      </c>
      <c r="AK37" s="46">
        <v>236074.23828847034</v>
      </c>
      <c r="AM37" s="49">
        <v>1.2274357565119102E-3</v>
      </c>
      <c r="AO37" s="40">
        <v>1758.1055785011638</v>
      </c>
      <c r="AV37" s="20"/>
      <c r="AZ37" s="20"/>
    </row>
    <row r="38" spans="1:52" ht="13.8" customHeight="1">
      <c r="A38" s="38"/>
      <c r="I38" s="86">
        <f>AM36</f>
        <v>8.8651033138830153E-4</v>
      </c>
      <c r="J38" s="86">
        <f>AM37</f>
        <v>1.2274357565119102E-3</v>
      </c>
      <c r="K38" s="50">
        <f>AM38</f>
        <v>1.0431367741674891E-3</v>
      </c>
      <c r="M38" s="51">
        <f>_xlfn.XLOOKUP($B36,Materials!$B$2:$H$2,Materials!$B$11:$H$11,"## ##")</f>
        <v>480000</v>
      </c>
      <c r="N38" s="51">
        <f>_xlfn.XLOOKUP($B36,Materials!$B$2:$H$2,Materials!$B$12:$H$12,"## ##")</f>
        <v>11600</v>
      </c>
      <c r="O38" s="51">
        <f>_xlfn.XLOOKUP($B36,Materials!$B$2:$H$2,Materials!$B$13:$H$13,"## ##")</f>
        <v>8700</v>
      </c>
      <c r="P38" s="51">
        <f>_xlfn.XLOOKUP($B36,Materials!$B$2:$H$2,Materials!$B$14:$H$14,"## ##")</f>
        <v>2.1899999999999999E-2</v>
      </c>
      <c r="Q38" s="51">
        <f>_xlfn.XLOOKUP($B36,Materials!$B$2:$H$2,Materials!$B$15:$H$15,"## ##")</f>
        <v>0</v>
      </c>
      <c r="S38" s="44">
        <v>0.49345480000642017</v>
      </c>
      <c r="T38" s="44">
        <v>-0.49345480000642017</v>
      </c>
      <c r="U38" s="44">
        <v>0.16127442885496665</v>
      </c>
      <c r="V38" s="45"/>
      <c r="W38" s="46">
        <v>0</v>
      </c>
      <c r="X38" s="46">
        <v>0</v>
      </c>
      <c r="Y38" s="46">
        <f>P36</f>
        <v>700000</v>
      </c>
      <c r="Z38" s="47"/>
      <c r="AA38" s="44">
        <f>COS(RADIANS($C36))*SIN(RADIANS($C36))</f>
        <v>-0.49345480000642011</v>
      </c>
      <c r="AB38" s="44">
        <f>-COS(RADIANS($C36))*SIN(RADIANS($C36))</f>
        <v>0.49345480000642011</v>
      </c>
      <c r="AC38" s="44">
        <f>COS(RADIANS($C36))^2-SIN(RADIANS($C36))^2</f>
        <v>0.16127442885496662</v>
      </c>
      <c r="AD38" s="45"/>
      <c r="AE38" s="46">
        <v>7495317.1923754942</v>
      </c>
      <c r="AF38" s="46">
        <v>5490098.5648481464</v>
      </c>
      <c r="AG38" s="46">
        <v>13670820.164621314</v>
      </c>
      <c r="AH38" s="48"/>
      <c r="AI38" s="46">
        <v>161149.31963607317</v>
      </c>
      <c r="AJ38" s="46">
        <v>118037.11914423517</v>
      </c>
      <c r="AK38" s="46">
        <v>293922.63353935833</v>
      </c>
      <c r="AM38" s="49">
        <v>1.0431367741674891E-3</v>
      </c>
      <c r="AO38" s="40">
        <v>730.19574191724234</v>
      </c>
      <c r="AV38" s="20"/>
      <c r="AZ38" s="20"/>
    </row>
    <row r="39" spans="1:52" ht="13.8" customHeight="1">
      <c r="A39" s="38"/>
      <c r="AV39" s="20"/>
      <c r="AZ39" s="20"/>
    </row>
    <row r="40" spans="1:52" ht="13.8" customHeight="1">
      <c r="A40" s="38">
        <v>3</v>
      </c>
      <c r="B40" s="21">
        <f>_xlfn.XLOOKUP(D40,Materials!$B$3:$H$3,Materials!$B$2:$H$2,"## ##")</f>
        <v>5</v>
      </c>
      <c r="C40" s="21">
        <f>F11</f>
        <v>39.1869582190401</v>
      </c>
      <c r="D40" s="72" t="str">
        <f>E11</f>
        <v>IM10/UF3376</v>
      </c>
      <c r="E40" s="39">
        <f>_xlfn.XLOOKUP(B40,Materials!$B$2:$H$2,Materials!B$18:H$18,"## ##")</f>
        <v>4.3E-3</v>
      </c>
      <c r="F40" s="27">
        <f>G11</f>
        <v>0.8</v>
      </c>
      <c r="G40" s="39">
        <f>E40/(1-F40)</f>
        <v>2.1500000000000005E-2</v>
      </c>
      <c r="I40" s="54">
        <f>AO40</f>
        <v>23644.941726178113</v>
      </c>
      <c r="J40" s="54">
        <f>AO41</f>
        <v>1793.8772825506001</v>
      </c>
      <c r="K40" s="40">
        <f>AO42</f>
        <v>-724.70139134019098</v>
      </c>
      <c r="M40" s="41">
        <f>_xlfn.XLOOKUP($B40,Materials!$B$2:$H$2,Materials!$B$6:$H$6,"## ##")</f>
        <v>27400000</v>
      </c>
      <c r="N40" s="41">
        <f>_xlfn.XLOOKUP($B40,Materials!B$2:H$2,Materials!B$7:H$7,"## ##")</f>
        <v>1180000</v>
      </c>
      <c r="O40" s="42">
        <f>_xlfn.XLOOKUP($B40,Materials!B$2:H$2,Materials!B$8:H$8,"## ##")</f>
        <v>0.28999999999999998</v>
      </c>
      <c r="P40" s="41">
        <f>_xlfn.XLOOKUP($B40,Materials!B$2:H$2,Materials!B$9:H$9,"## ##")</f>
        <v>700000</v>
      </c>
      <c r="Q40" s="42">
        <f>(N40/M40)*O40</f>
        <v>1.2489051094890511E-2</v>
      </c>
      <c r="S40" s="44" cm="1">
        <f t="array" ref="S40:U42">MINVERSE(AA40:AC42)</f>
        <v>0.60076192304224452</v>
      </c>
      <c r="T40" s="44">
        <v>0.39923807695775559</v>
      </c>
      <c r="U40" s="44">
        <v>0.97948360857102423</v>
      </c>
      <c r="V40" s="45"/>
      <c r="W40" s="46">
        <f>M40/(1-O40*Q40)</f>
        <v>27499598.729149025</v>
      </c>
      <c r="X40" s="46">
        <f>Q40*M40/(1-O40*Q40)</f>
        <v>343443.89361732837</v>
      </c>
      <c r="Y40" s="46">
        <v>0</v>
      </c>
      <c r="Z40" s="47"/>
      <c r="AA40" s="44">
        <f>COS(RADIANS($C40))^2</f>
        <v>0.60076192304224441</v>
      </c>
      <c r="AB40" s="44">
        <f>SIN(RADIANS($C40))^2</f>
        <v>0.39923807695775559</v>
      </c>
      <c r="AC40" s="44">
        <f>-2*COS(RADIANS($C40))*SIN(RADIANS($C40))</f>
        <v>-0.97948360857102412</v>
      </c>
      <c r="AD40" s="45"/>
      <c r="AE40" s="46" cm="1">
        <f t="array" ref="AE40:AG42">MMULT(MMULT(_xlfn.ANCHORARRAY(S40),W40:Y42),MMULT(AA$26:AC$28,AA40:AC42))</f>
        <v>10950099.400736544</v>
      </c>
      <c r="AF40" s="46">
        <v>6386869.6863311976</v>
      </c>
      <c r="AG40" s="46">
        <v>-15374516.29474094</v>
      </c>
      <c r="AH40" s="48"/>
      <c r="AI40" s="46" cm="1">
        <f t="array" ref="AI40:AK42">G40*(_xlfn.ANCHORARRAY(AE40))</f>
        <v>235427.13711583577</v>
      </c>
      <c r="AJ40" s="46">
        <v>137317.69825612078</v>
      </c>
      <c r="AK40" s="46">
        <v>-330552.10033693031</v>
      </c>
      <c r="AM40" s="49" cm="1">
        <f t="array" ref="AM40:AM42">MMULT(AA40:AC42,_xlfn.ANCHORARRAY($F$94))</f>
        <v>8.4396778519118393E-4</v>
      </c>
      <c r="AO40" s="40" cm="1">
        <f t="array" ref="AO40:AO42">MMULT(W40:Y42,_xlfn.ANCHORARRAY($AM40))</f>
        <v>23644.941726178113</v>
      </c>
      <c r="AV40" s="20"/>
      <c r="AZ40" s="20"/>
    </row>
    <row r="41" spans="1:52" ht="13.8" customHeight="1">
      <c r="A41" s="38"/>
      <c r="D41" s="73"/>
      <c r="I41" s="30"/>
      <c r="J41" s="30"/>
      <c r="K41" s="30"/>
      <c r="S41" s="44">
        <v>0.39923807695775565</v>
      </c>
      <c r="T41" s="44">
        <v>0.60076192304224441</v>
      </c>
      <c r="U41" s="44">
        <v>-0.97948360857102423</v>
      </c>
      <c r="V41" s="45" t="s">
        <v>29</v>
      </c>
      <c r="W41" s="46">
        <f>O40*N40/(1-O40*Q40)</f>
        <v>343443.89361732837</v>
      </c>
      <c r="X41" s="46">
        <f>N40/(1-O40*Q40)</f>
        <v>1184289.2883356151</v>
      </c>
      <c r="Y41" s="46">
        <v>0</v>
      </c>
      <c r="Z41" s="47" t="s">
        <v>29</v>
      </c>
      <c r="AA41" s="44">
        <f>SIN(RADIANS($C40))^2</f>
        <v>0.39923807695775559</v>
      </c>
      <c r="AB41" s="44">
        <f>COS(RADIANS($C40))^2</f>
        <v>0.60076192304224441</v>
      </c>
      <c r="AC41" s="44">
        <f>2*COS(RADIANS($C40))*SIN(RADIANS($C40))</f>
        <v>0.97948360857102412</v>
      </c>
      <c r="AD41" s="45" t="str">
        <f>"="</f>
        <v>=</v>
      </c>
      <c r="AE41" s="46">
        <v>6386869.6863311967</v>
      </c>
      <c r="AF41" s="46">
        <v>5646937.0313203642</v>
      </c>
      <c r="AG41" s="46">
        <v>-10400897.957010122</v>
      </c>
      <c r="AH41" s="48" t="str">
        <f>"==&gt;"</f>
        <v>==&gt;</v>
      </c>
      <c r="AI41" s="46">
        <v>137317.69825612076</v>
      </c>
      <c r="AJ41" s="46">
        <v>121409.14617338785</v>
      </c>
      <c r="AK41" s="46">
        <v>-223619.30607571767</v>
      </c>
      <c r="AM41" s="49">
        <v>1.2699783027090277E-3</v>
      </c>
      <c r="AO41" s="40">
        <v>1793.8772825506001</v>
      </c>
      <c r="AV41" s="20"/>
      <c r="AZ41" s="20"/>
    </row>
    <row r="42" spans="1:52" ht="13.8" customHeight="1">
      <c r="A42" s="38"/>
      <c r="I42" s="86">
        <f>AM40</f>
        <v>8.4396778519118393E-4</v>
      </c>
      <c r="J42" s="86">
        <f>AM41</f>
        <v>1.2699783027090277E-3</v>
      </c>
      <c r="K42" s="50">
        <f>AM42</f>
        <v>-1.0352877019145586E-3</v>
      </c>
      <c r="M42" s="51">
        <f>_xlfn.XLOOKUP($B40,Materials!$B$2:$H$2,Materials!$B$11:$H$11,"## ##")</f>
        <v>480000</v>
      </c>
      <c r="N42" s="51">
        <f>_xlfn.XLOOKUP($B40,Materials!$B$2:$H$2,Materials!$B$12:$H$12,"## ##")</f>
        <v>11600</v>
      </c>
      <c r="O42" s="51">
        <f>_xlfn.XLOOKUP($B40,Materials!$B$2:$H$2,Materials!$B$13:$H$13,"## ##")</f>
        <v>8700</v>
      </c>
      <c r="P42" s="51">
        <f>_xlfn.XLOOKUP($B40,Materials!$B$2:$H$2,Materials!$B$14:$H$14,"## ##")</f>
        <v>2.1899999999999999E-2</v>
      </c>
      <c r="Q42" s="51">
        <f>_xlfn.XLOOKUP($B40,Materials!$B$2:$H$2,Materials!$B$15:$H$15,"## ##")</f>
        <v>0</v>
      </c>
      <c r="S42" s="44">
        <v>-0.48974180428551206</v>
      </c>
      <c r="T42" s="44">
        <v>0.48974180428551206</v>
      </c>
      <c r="U42" s="44">
        <v>0.20152384608448884</v>
      </c>
      <c r="V42" s="45"/>
      <c r="W42" s="46">
        <v>0</v>
      </c>
      <c r="X42" s="46">
        <v>0</v>
      </c>
      <c r="Y42" s="46">
        <f>P40</f>
        <v>700000</v>
      </c>
      <c r="Z42" s="47"/>
      <c r="AA42" s="44">
        <f>COS(RADIANS($C40))*SIN(RADIANS($C40))</f>
        <v>0.48974180428551206</v>
      </c>
      <c r="AB42" s="44">
        <f>-COS(RADIANS($C40))*SIN(RADIANS($C40))</f>
        <v>-0.48974180428551206</v>
      </c>
      <c r="AC42" s="44">
        <f>COS(RADIANS($C40))^2-SIN(RADIANS($C40))^2</f>
        <v>0.20152384608448881</v>
      </c>
      <c r="AD42" s="45"/>
      <c r="AE42" s="46">
        <v>-7687258.1473704688</v>
      </c>
      <c r="AF42" s="46">
        <v>-5200448.978505061</v>
      </c>
      <c r="AG42" s="46">
        <v>13486851.585427735</v>
      </c>
      <c r="AH42" s="48"/>
      <c r="AI42" s="46">
        <v>-165276.05016846512</v>
      </c>
      <c r="AJ42" s="46">
        <v>-111809.65303785884</v>
      </c>
      <c r="AK42" s="46">
        <v>289967.30908669636</v>
      </c>
      <c r="AM42" s="49">
        <v>-1.0352877019145586E-3</v>
      </c>
      <c r="AO42" s="40">
        <v>-724.70139134019098</v>
      </c>
      <c r="AV42" s="20"/>
      <c r="AZ42" s="20"/>
    </row>
    <row r="43" spans="1:52" ht="13.8" customHeight="1">
      <c r="A43" s="38"/>
      <c r="B43" s="53"/>
      <c r="C43" s="52"/>
      <c r="D43" s="52"/>
      <c r="E43" s="52"/>
      <c r="F43" s="52"/>
      <c r="G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V43" s="20"/>
      <c r="AZ43" s="20"/>
    </row>
    <row r="44" spans="1:52" ht="13.8" customHeight="1">
      <c r="A44" s="38">
        <v>4</v>
      </c>
      <c r="B44" s="21">
        <f>_xlfn.XLOOKUP(D44,Materials!$B$3:$H$3,Materials!$B$2:$H$2,"## ##")</f>
        <v>5</v>
      </c>
      <c r="C44" s="21">
        <f>F12</f>
        <v>-39.1869582190401</v>
      </c>
      <c r="D44" s="72" t="str">
        <f>E12</f>
        <v>IM10/UF3376</v>
      </c>
      <c r="E44" s="39">
        <f>_xlfn.XLOOKUP(B44,Materials!$B$2:$H$2,Materials!B$18:H$18,"## ##")</f>
        <v>4.3E-3</v>
      </c>
      <c r="F44" s="27">
        <f>G12</f>
        <v>0.8</v>
      </c>
      <c r="G44" s="39">
        <f>E44/(1-F44)</f>
        <v>2.1500000000000005E-2</v>
      </c>
      <c r="I44" s="54">
        <f>AO44</f>
        <v>23644.941726178113</v>
      </c>
      <c r="J44" s="54">
        <f>AO45</f>
        <v>1793.8772825506001</v>
      </c>
      <c r="K44" s="40">
        <f>AO46</f>
        <v>724.70139134019098</v>
      </c>
      <c r="M44" s="41">
        <f>_xlfn.XLOOKUP($B44,Materials!$B$2:$H$2,Materials!$B$6:$H$6,"## ##")</f>
        <v>27400000</v>
      </c>
      <c r="N44" s="41">
        <f>_xlfn.XLOOKUP($B44,Materials!B$2:H$2,Materials!B$7:H$7,"## ##")</f>
        <v>1180000</v>
      </c>
      <c r="O44" s="42">
        <f>_xlfn.XLOOKUP($B44,Materials!B$2:H$2,Materials!B$8:H$8,"## ##")</f>
        <v>0.28999999999999998</v>
      </c>
      <c r="P44" s="41">
        <f>_xlfn.XLOOKUP($B44,Materials!B$2:H$2,Materials!B$9:H$9,"## ##")</f>
        <v>700000</v>
      </c>
      <c r="Q44" s="42">
        <f>(N44/M44)*O44</f>
        <v>1.2489051094890511E-2</v>
      </c>
      <c r="S44" s="44" cm="1">
        <f t="array" ref="S44:U46">MINVERSE(AA44:AC46)</f>
        <v>0.60076192304224452</v>
      </c>
      <c r="T44" s="44">
        <v>0.39923807695775559</v>
      </c>
      <c r="U44" s="44">
        <v>-0.97948360857102423</v>
      </c>
      <c r="V44" s="45"/>
      <c r="W44" s="46">
        <f>M44/(1-O44*Q44)</f>
        <v>27499598.729149025</v>
      </c>
      <c r="X44" s="46">
        <f>Q44*M44/(1-O44*Q44)</f>
        <v>343443.89361732837</v>
      </c>
      <c r="Y44" s="46">
        <v>0</v>
      </c>
      <c r="Z44" s="47"/>
      <c r="AA44" s="44">
        <f>COS(RADIANS($C44))^2</f>
        <v>0.60076192304224441</v>
      </c>
      <c r="AB44" s="44">
        <f>SIN(RADIANS($C44))^2</f>
        <v>0.39923807695775559</v>
      </c>
      <c r="AC44" s="44">
        <f>-2*COS(RADIANS($C44))*SIN(RADIANS($C44))</f>
        <v>0.97948360857102412</v>
      </c>
      <c r="AD44" s="45"/>
      <c r="AE44" s="46" cm="1">
        <f t="array" ref="AE44:AG46">MMULT(MMULT(_xlfn.ANCHORARRAY(S44),W44:Y46),MMULT(AA$26:AC$28,AA44:AC46))</f>
        <v>10950099.400736544</v>
      </c>
      <c r="AF44" s="46">
        <v>6386869.6863311976</v>
      </c>
      <c r="AG44" s="46">
        <v>15374516.29474094</v>
      </c>
      <c r="AH44" s="48"/>
      <c r="AI44" s="46" cm="1">
        <f t="array" ref="AI44:AK46">G44*(_xlfn.ANCHORARRAY(AE44))</f>
        <v>235427.13711583577</v>
      </c>
      <c r="AJ44" s="46">
        <v>137317.69825612078</v>
      </c>
      <c r="AK44" s="46">
        <v>330552.10033693031</v>
      </c>
      <c r="AM44" s="49" cm="1">
        <f t="array" ref="AM44:AM46">MMULT(AA44:AC46,_xlfn.ANCHORARRAY($F$94))</f>
        <v>8.4396778519118393E-4</v>
      </c>
      <c r="AO44" s="40" cm="1">
        <f t="array" ref="AO44:AO46">MMULT(W44:Y46,_xlfn.ANCHORARRAY($AM44))</f>
        <v>23644.941726178113</v>
      </c>
      <c r="AV44" s="20"/>
      <c r="AZ44" s="20"/>
    </row>
    <row r="45" spans="1:52" ht="13.8" customHeight="1">
      <c r="A45" s="38"/>
      <c r="D45" s="73"/>
      <c r="I45" s="30"/>
      <c r="J45" s="30"/>
      <c r="K45" s="30"/>
      <c r="S45" s="44">
        <v>0.39923807695775565</v>
      </c>
      <c r="T45" s="44">
        <v>0.60076192304224441</v>
      </c>
      <c r="U45" s="44">
        <v>0.97948360857102423</v>
      </c>
      <c r="V45" s="45" t="s">
        <v>29</v>
      </c>
      <c r="W45" s="46">
        <f>O44*N44/(1-O44*Q44)</f>
        <v>343443.89361732837</v>
      </c>
      <c r="X45" s="46">
        <f>N44/(1-O44*Q44)</f>
        <v>1184289.2883356151</v>
      </c>
      <c r="Y45" s="46">
        <v>0</v>
      </c>
      <c r="Z45" s="47" t="s">
        <v>29</v>
      </c>
      <c r="AA45" s="44">
        <f>SIN(RADIANS($C44))^2</f>
        <v>0.39923807695775559</v>
      </c>
      <c r="AB45" s="44">
        <f>COS(RADIANS($C44))^2</f>
        <v>0.60076192304224441</v>
      </c>
      <c r="AC45" s="44">
        <f>2*COS(RADIANS($C44))*SIN(RADIANS($C44))</f>
        <v>-0.97948360857102412</v>
      </c>
      <c r="AD45" s="45" t="str">
        <f>"="</f>
        <v>=</v>
      </c>
      <c r="AE45" s="46">
        <v>6386869.6863311967</v>
      </c>
      <c r="AF45" s="46">
        <v>5646937.0313203642</v>
      </c>
      <c r="AG45" s="46">
        <v>10400897.957010122</v>
      </c>
      <c r="AH45" s="48" t="str">
        <f>"==&gt;"</f>
        <v>==&gt;</v>
      </c>
      <c r="AI45" s="46">
        <v>137317.69825612076</v>
      </c>
      <c r="AJ45" s="46">
        <v>121409.14617338785</v>
      </c>
      <c r="AK45" s="46">
        <v>223619.30607571767</v>
      </c>
      <c r="AM45" s="49">
        <v>1.2699783027090277E-3</v>
      </c>
      <c r="AO45" s="40">
        <v>1793.8772825506001</v>
      </c>
      <c r="AV45" s="20"/>
      <c r="AZ45" s="20"/>
    </row>
    <row r="46" spans="1:52" ht="13.8" customHeight="1">
      <c r="A46" s="38"/>
      <c r="I46" s="86">
        <f>AM44</f>
        <v>8.4396778519118393E-4</v>
      </c>
      <c r="J46" s="86">
        <f>AM45</f>
        <v>1.2699783027090277E-3</v>
      </c>
      <c r="K46" s="50">
        <f>AM46</f>
        <v>1.0352877019145586E-3</v>
      </c>
      <c r="M46" s="51">
        <f>_xlfn.XLOOKUP($B44,Materials!$B$2:$H$2,Materials!$B$11:$H$11,"## ##")</f>
        <v>480000</v>
      </c>
      <c r="N46" s="51">
        <f>_xlfn.XLOOKUP($B44,Materials!$B$2:$H$2,Materials!$B$12:$H$12,"## ##")</f>
        <v>11600</v>
      </c>
      <c r="O46" s="51">
        <f>_xlfn.XLOOKUP($B44,Materials!$B$2:$H$2,Materials!$B$13:$H$13,"## ##")</f>
        <v>8700</v>
      </c>
      <c r="P46" s="51">
        <f>_xlfn.XLOOKUP($B44,Materials!$B$2:$H$2,Materials!$B$14:$H$14,"## ##")</f>
        <v>2.1899999999999999E-2</v>
      </c>
      <c r="Q46" s="51">
        <f>_xlfn.XLOOKUP($B44,Materials!$B$2:$H$2,Materials!$B$15:$H$15,"## ##")</f>
        <v>0</v>
      </c>
      <c r="S46" s="44">
        <v>0.48974180428551206</v>
      </c>
      <c r="T46" s="44">
        <v>-0.48974180428551206</v>
      </c>
      <c r="U46" s="44">
        <v>0.20152384608448884</v>
      </c>
      <c r="V46" s="45"/>
      <c r="W46" s="46">
        <v>0</v>
      </c>
      <c r="X46" s="46">
        <v>0</v>
      </c>
      <c r="Y46" s="46">
        <f>P44</f>
        <v>700000</v>
      </c>
      <c r="Z46" s="47"/>
      <c r="AA46" s="44">
        <f>COS(RADIANS($C44))*SIN(RADIANS($C44))</f>
        <v>-0.48974180428551206</v>
      </c>
      <c r="AB46" s="44">
        <f>-COS(RADIANS($C44))*SIN(RADIANS($C44))</f>
        <v>0.48974180428551206</v>
      </c>
      <c r="AC46" s="44">
        <f>COS(RADIANS($C44))^2-SIN(RADIANS($C44))^2</f>
        <v>0.20152384608448881</v>
      </c>
      <c r="AD46" s="45"/>
      <c r="AE46" s="46">
        <v>7687258.1473704688</v>
      </c>
      <c r="AF46" s="46">
        <v>5200448.978505061</v>
      </c>
      <c r="AG46" s="46">
        <v>13486851.585427735</v>
      </c>
      <c r="AH46" s="48"/>
      <c r="AI46" s="46">
        <v>165276.05016846512</v>
      </c>
      <c r="AJ46" s="46">
        <v>111809.65303785884</v>
      </c>
      <c r="AK46" s="46">
        <v>289967.30908669636</v>
      </c>
      <c r="AM46" s="49">
        <v>1.0352877019145586E-3</v>
      </c>
      <c r="AO46" s="40">
        <v>724.70139134019098</v>
      </c>
      <c r="AV46" s="20"/>
      <c r="AZ46" s="20"/>
    </row>
    <row r="47" spans="1:52" ht="13.8" customHeight="1">
      <c r="A47" s="38"/>
      <c r="AV47" s="20"/>
      <c r="AZ47" s="20"/>
    </row>
    <row r="48" spans="1:52" ht="13.8" customHeight="1">
      <c r="A48" s="38">
        <v>5</v>
      </c>
      <c r="B48" s="21">
        <f>_xlfn.XLOOKUP(D48,Materials!$B$3:$H$3,Materials!$B$2:$H$2,"## ##")</f>
        <v>5</v>
      </c>
      <c r="C48" s="21">
        <f>F13</f>
        <v>39.642880663730764</v>
      </c>
      <c r="D48" s="72" t="str">
        <f>E13</f>
        <v>IM10/UF3376</v>
      </c>
      <c r="E48" s="39">
        <f>_xlfn.XLOOKUP(B48,Materials!$B$2:$H$2,Materials!B$18:H$18,"## ##")</f>
        <v>4.3E-3</v>
      </c>
      <c r="F48" s="27">
        <f>G13</f>
        <v>0.8</v>
      </c>
      <c r="G48" s="39">
        <f>E48/(1-F48)</f>
        <v>2.1500000000000005E-2</v>
      </c>
      <c r="I48" s="54">
        <f>AO48</f>
        <v>24093.087998195224</v>
      </c>
      <c r="J48" s="54">
        <f>AO49</f>
        <v>1780.0011748590682</v>
      </c>
      <c r="K48" s="40">
        <f>AO50</f>
        <v>-726.98245751467357</v>
      </c>
      <c r="M48" s="41">
        <f>_xlfn.XLOOKUP($B48,Materials!$B$2:$H$2,Materials!$B$6:$H$6,"## ##")</f>
        <v>27400000</v>
      </c>
      <c r="N48" s="41">
        <f>_xlfn.XLOOKUP($B48,Materials!B$2:H$2,Materials!B$7:H$7,"## ##")</f>
        <v>1180000</v>
      </c>
      <c r="O48" s="42">
        <f>_xlfn.XLOOKUP($B48,Materials!B$2:H$2,Materials!B$8:H$8,"## ##")</f>
        <v>0.28999999999999998</v>
      </c>
      <c r="P48" s="41">
        <f>_xlfn.XLOOKUP($B48,Materials!B$2:H$2,Materials!B$9:H$9,"## ##")</f>
        <v>700000</v>
      </c>
      <c r="Q48" s="42">
        <f>(N48/M48)*O48</f>
        <v>1.2489051094890511E-2</v>
      </c>
      <c r="S48" s="44" cm="1">
        <f t="array" ref="S48:U50">MINVERSE(AA48:AC50)</f>
        <v>0.59295540022149196</v>
      </c>
      <c r="T48" s="44">
        <v>0.40704459977850799</v>
      </c>
      <c r="U48" s="44">
        <v>0.98256662587259136</v>
      </c>
      <c r="V48" s="45"/>
      <c r="W48" s="46">
        <f>M48/(1-O48*Q48)</f>
        <v>27499598.729149025</v>
      </c>
      <c r="X48" s="46">
        <f>Q48*M48/(1-O48*Q48)</f>
        <v>343443.89361732837</v>
      </c>
      <c r="Y48" s="46">
        <v>0</v>
      </c>
      <c r="Z48" s="47"/>
      <c r="AA48" s="44">
        <f>COS(RADIANS($C48))^2</f>
        <v>0.59295540022149196</v>
      </c>
      <c r="AB48" s="44">
        <f>SIN(RADIANS($C48))^2</f>
        <v>0.40704459977850799</v>
      </c>
      <c r="AC48" s="44">
        <f>-2*COS(RADIANS($C48))*SIN(RADIANS($C48))</f>
        <v>-0.98256662587259136</v>
      </c>
      <c r="AD48" s="45"/>
      <c r="AE48" s="46" cm="1">
        <f t="array" ref="AE48:AG50">MMULT(MMULT(_xlfn.ANCHORARRAY(S48),W48:Y50),MMULT(AA$26:AC$28,AA48:AC50))</f>
        <v>10706563.954117782</v>
      </c>
      <c r="AF48" s="46">
        <v>6424974.0692650806</v>
      </c>
      <c r="AG48" s="46">
        <v>-15229637.243031733</v>
      </c>
      <c r="AH48" s="48"/>
      <c r="AI48" s="46" cm="1">
        <f t="array" ref="AI48:AK50">G48*(_xlfn.ANCHORARRAY(AE48))</f>
        <v>230191.12501353238</v>
      </c>
      <c r="AJ48" s="46">
        <v>138136.94248919925</v>
      </c>
      <c r="AK48" s="46">
        <v>-327437.20072518231</v>
      </c>
      <c r="AM48" s="49" cm="1">
        <f t="array" ref="AM48:AM50">MMULT(AA48:AC50,_xlfn.ANCHORARRAY($F$94))</f>
        <v>8.6047035246299608E-4</v>
      </c>
      <c r="AO48" s="40" cm="1">
        <f t="array" ref="AO48:AO50">MMULT(W48:Y50,_xlfn.ANCHORARRAY($AM48))</f>
        <v>24093.087998195224</v>
      </c>
      <c r="AV48" s="20"/>
      <c r="AZ48" s="20"/>
    </row>
    <row r="49" spans="1:52" ht="13.8" customHeight="1">
      <c r="A49" s="38"/>
      <c r="D49" s="73"/>
      <c r="S49" s="44">
        <v>0.4070445997785081</v>
      </c>
      <c r="T49" s="44">
        <v>0.59295540022149207</v>
      </c>
      <c r="U49" s="44">
        <v>-0.98256662587259147</v>
      </c>
      <c r="V49" s="45" t="s">
        <v>29</v>
      </c>
      <c r="W49" s="46">
        <f>O48*N48/(1-O48*Q48)</f>
        <v>343443.89361732837</v>
      </c>
      <c r="X49" s="46">
        <f>N48/(1-O48*Q48)</f>
        <v>1184289.2883356151</v>
      </c>
      <c r="Y49" s="46">
        <v>0</v>
      </c>
      <c r="Z49" s="47" t="s">
        <v>29</v>
      </c>
      <c r="AA49" s="44">
        <f>SIN(RADIANS($C48))^2</f>
        <v>0.40704459977850799</v>
      </c>
      <c r="AB49" s="44">
        <f>COS(RADIANS($C48))^2</f>
        <v>0.59295540022149196</v>
      </c>
      <c r="AC49" s="44">
        <f>2*COS(RADIANS($C48))*SIN(RADIANS($C48))</f>
        <v>0.98256662587259136</v>
      </c>
      <c r="AD49" s="45" t="str">
        <f>"="</f>
        <v>=</v>
      </c>
      <c r="AE49" s="46">
        <v>6424974.0692650815</v>
      </c>
      <c r="AF49" s="46">
        <v>5814263.7120713508</v>
      </c>
      <c r="AG49" s="46">
        <v>-10626907.563021449</v>
      </c>
      <c r="AH49" s="48" t="str">
        <f>"==&gt;"</f>
        <v>==&gt;</v>
      </c>
      <c r="AI49" s="46">
        <v>138136.94248919928</v>
      </c>
      <c r="AJ49" s="46">
        <v>125006.66980953407</v>
      </c>
      <c r="AK49" s="46">
        <v>-228478.51260496123</v>
      </c>
      <c r="AM49" s="49">
        <v>1.2534757354372157E-3</v>
      </c>
      <c r="AO49" s="40">
        <v>1780.0011748590682</v>
      </c>
      <c r="AV49" s="20"/>
      <c r="AZ49" s="20"/>
    </row>
    <row r="50" spans="1:52" ht="13.8" customHeight="1">
      <c r="A50" s="38"/>
      <c r="I50" s="86">
        <f>AM48</f>
        <v>8.6047035246299608E-4</v>
      </c>
      <c r="J50" s="86">
        <f>AM49</f>
        <v>1.2534757354372157E-3</v>
      </c>
      <c r="K50" s="50">
        <f>AM50</f>
        <v>-1.0385463678781051E-3</v>
      </c>
      <c r="M50" s="51">
        <f>_xlfn.XLOOKUP($B48,Materials!$B$2:$H$2,Materials!$B$11:$H$11,"## ##")</f>
        <v>480000</v>
      </c>
      <c r="N50" s="51">
        <f>_xlfn.XLOOKUP($B48,Materials!$B$2:$H$2,Materials!$B$12:$H$12,"## ##")</f>
        <v>11600</v>
      </c>
      <c r="O50" s="51">
        <f>_xlfn.XLOOKUP($B48,Materials!$B$2:$H$2,Materials!$B$13:$H$13,"## ##")</f>
        <v>8700</v>
      </c>
      <c r="P50" s="51">
        <f>_xlfn.XLOOKUP($B48,Materials!$B$2:$H$2,Materials!$B$14:$H$14,"## ##")</f>
        <v>2.1899999999999999E-2</v>
      </c>
      <c r="Q50" s="51">
        <f>_xlfn.XLOOKUP($B48,Materials!$B$2:$H$2,Materials!$B$15:$H$15,"## ##")</f>
        <v>0</v>
      </c>
      <c r="S50" s="44">
        <v>-0.49128331293629568</v>
      </c>
      <c r="T50" s="44">
        <v>0.49128331293629568</v>
      </c>
      <c r="U50" s="44">
        <v>0.185910800442984</v>
      </c>
      <c r="V50" s="45"/>
      <c r="W50" s="46">
        <v>0</v>
      </c>
      <c r="X50" s="46">
        <v>0</v>
      </c>
      <c r="Y50" s="46">
        <f>P48</f>
        <v>700000</v>
      </c>
      <c r="Z50" s="47"/>
      <c r="AA50" s="44">
        <f>COS(RADIANS($C48))*SIN(RADIANS($C48))</f>
        <v>0.49128331293629568</v>
      </c>
      <c r="AB50" s="44">
        <f>-COS(RADIANS($C48))*SIN(RADIANS($C48))</f>
        <v>-0.49128331293629568</v>
      </c>
      <c r="AC50" s="44">
        <f>COS(RADIANS($C48))^2-SIN(RADIANS($C48))^2</f>
        <v>0.18591080044298397</v>
      </c>
      <c r="AD50" s="45"/>
      <c r="AE50" s="46">
        <v>-7614818.6215158673</v>
      </c>
      <c r="AF50" s="46">
        <v>-5313453.7815107238</v>
      </c>
      <c r="AG50" s="46">
        <v>13563060.351295505</v>
      </c>
      <c r="AH50" s="48"/>
      <c r="AI50" s="46">
        <v>-163718.60036259118</v>
      </c>
      <c r="AJ50" s="46">
        <v>-114239.25630248059</v>
      </c>
      <c r="AK50" s="46">
        <v>291605.79755285342</v>
      </c>
      <c r="AM50" s="49">
        <v>-1.0385463678781051E-3</v>
      </c>
      <c r="AO50" s="40">
        <v>-726.98245751467357</v>
      </c>
      <c r="AV50" s="20"/>
      <c r="AZ50" s="20"/>
    </row>
    <row r="51" spans="1:52" ht="13.8" customHeight="1">
      <c r="A51" s="38"/>
      <c r="B51" s="53"/>
      <c r="C51" s="52"/>
      <c r="D51" s="52"/>
      <c r="E51" s="52"/>
      <c r="F51" s="52"/>
      <c r="G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V51" s="20"/>
      <c r="AZ51" s="20"/>
    </row>
    <row r="52" spans="1:52" ht="13.8" customHeight="1">
      <c r="A52" s="38">
        <v>6</v>
      </c>
      <c r="B52" s="21">
        <f>_xlfn.XLOOKUP(D52,Materials!$B$3:$H$3,Materials!$B$2:$H$2,"## ##")</f>
        <v>5</v>
      </c>
      <c r="C52" s="21">
        <f>F14</f>
        <v>-39.642880663730764</v>
      </c>
      <c r="D52" s="72" t="str">
        <f>E14</f>
        <v>IM10/UF3376</v>
      </c>
      <c r="E52" s="39">
        <f>_xlfn.XLOOKUP(B52,Materials!$B$2:$H$2,Materials!B$18:H$18,"## ##")</f>
        <v>4.3E-3</v>
      </c>
      <c r="F52" s="27">
        <f>G14</f>
        <v>0.8</v>
      </c>
      <c r="G52" s="39">
        <f>E52/(1-F52)</f>
        <v>2.1500000000000005E-2</v>
      </c>
      <c r="I52" s="54">
        <f>AO52</f>
        <v>24093.087998195224</v>
      </c>
      <c r="J52" s="54">
        <f>AO53</f>
        <v>1780.0011748590682</v>
      </c>
      <c r="K52" s="40">
        <f>AO54</f>
        <v>726.98245751467357</v>
      </c>
      <c r="M52" s="41">
        <f>_xlfn.XLOOKUP($B52,Materials!$B$2:$H$2,Materials!$B$6:$H$6,"## ##")</f>
        <v>27400000</v>
      </c>
      <c r="N52" s="41">
        <f>_xlfn.XLOOKUP($B52,Materials!B$2:H$2,Materials!B$7:H$7,"## ##")</f>
        <v>1180000</v>
      </c>
      <c r="O52" s="42">
        <f>_xlfn.XLOOKUP($B52,Materials!B$2:H$2,Materials!B$8:H$8,"## ##")</f>
        <v>0.28999999999999998</v>
      </c>
      <c r="P52" s="41">
        <f>_xlfn.XLOOKUP($B52,Materials!B$2:H$2,Materials!B$9:H$9,"## ##")</f>
        <v>700000</v>
      </c>
      <c r="Q52" s="42">
        <f>(N52/M52)*O52</f>
        <v>1.2489051094890511E-2</v>
      </c>
      <c r="S52" s="44" cm="1">
        <f t="array" ref="S52:U54">MINVERSE(AA52:AC54)</f>
        <v>0.59295540022149196</v>
      </c>
      <c r="T52" s="44">
        <v>0.40704459977850799</v>
      </c>
      <c r="U52" s="44">
        <v>-0.98256662587259136</v>
      </c>
      <c r="V52" s="45"/>
      <c r="W52" s="46">
        <f>M52/(1-O52*Q52)</f>
        <v>27499598.729149025</v>
      </c>
      <c r="X52" s="46">
        <f>Q52*M52/(1-O52*Q52)</f>
        <v>343443.89361732837</v>
      </c>
      <c r="Y52" s="46">
        <v>0</v>
      </c>
      <c r="Z52" s="47"/>
      <c r="AA52" s="44">
        <f>COS(RADIANS($C52))^2</f>
        <v>0.59295540022149196</v>
      </c>
      <c r="AB52" s="44">
        <f>SIN(RADIANS($C52))^2</f>
        <v>0.40704459977850799</v>
      </c>
      <c r="AC52" s="44">
        <f>-2*COS(RADIANS($C52))*SIN(RADIANS($C52))</f>
        <v>0.98256662587259136</v>
      </c>
      <c r="AD52" s="45"/>
      <c r="AE52" s="46" cm="1">
        <f t="array" ref="AE52:AG54">MMULT(MMULT(_xlfn.ANCHORARRAY(S52),W52:Y54),MMULT(AA$26:AC$28,AA52:AC54))</f>
        <v>10706563.954117782</v>
      </c>
      <c r="AF52" s="46">
        <v>6424974.0692650806</v>
      </c>
      <c r="AG52" s="46">
        <v>15229637.243031733</v>
      </c>
      <c r="AH52" s="48"/>
      <c r="AI52" s="46" cm="1">
        <f t="array" ref="AI52:AK54">G52*(_xlfn.ANCHORARRAY(AE52))</f>
        <v>230191.12501353238</v>
      </c>
      <c r="AJ52" s="46">
        <v>138136.94248919925</v>
      </c>
      <c r="AK52" s="46">
        <v>327437.20072518231</v>
      </c>
      <c r="AM52" s="49" cm="1">
        <f t="array" ref="AM52:AM54">MMULT(AA52:AC54,_xlfn.ANCHORARRAY($F$94))</f>
        <v>8.6047035246299608E-4</v>
      </c>
      <c r="AO52" s="40" cm="1">
        <f t="array" ref="AO52:AO54">MMULT(W52:Y54,_xlfn.ANCHORARRAY($AM52))</f>
        <v>24093.087998195224</v>
      </c>
      <c r="AV52" s="20"/>
      <c r="AZ52" s="20"/>
    </row>
    <row r="53" spans="1:52" ht="13.8" customHeight="1">
      <c r="A53" s="38"/>
      <c r="D53" s="73"/>
      <c r="S53" s="44">
        <v>0.4070445997785081</v>
      </c>
      <c r="T53" s="44">
        <v>0.59295540022149207</v>
      </c>
      <c r="U53" s="44">
        <v>0.98256662587259147</v>
      </c>
      <c r="V53" s="45" t="s">
        <v>29</v>
      </c>
      <c r="W53" s="46">
        <f>O52*N52/(1-O52*Q52)</f>
        <v>343443.89361732837</v>
      </c>
      <c r="X53" s="46">
        <f>N52/(1-O52*Q52)</f>
        <v>1184289.2883356151</v>
      </c>
      <c r="Y53" s="46">
        <v>0</v>
      </c>
      <c r="Z53" s="47" t="s">
        <v>29</v>
      </c>
      <c r="AA53" s="44">
        <f>SIN(RADIANS($C52))^2</f>
        <v>0.40704459977850799</v>
      </c>
      <c r="AB53" s="44">
        <f>COS(RADIANS($C52))^2</f>
        <v>0.59295540022149196</v>
      </c>
      <c r="AC53" s="44">
        <f>2*COS(RADIANS($C52))*SIN(RADIANS($C52))</f>
        <v>-0.98256662587259136</v>
      </c>
      <c r="AD53" s="45" t="str">
        <f>"="</f>
        <v>=</v>
      </c>
      <c r="AE53" s="46">
        <v>6424974.0692650815</v>
      </c>
      <c r="AF53" s="46">
        <v>5814263.7120713508</v>
      </c>
      <c r="AG53" s="46">
        <v>10626907.563021449</v>
      </c>
      <c r="AH53" s="48" t="str">
        <f>"==&gt;"</f>
        <v>==&gt;</v>
      </c>
      <c r="AI53" s="46">
        <v>138136.94248919928</v>
      </c>
      <c r="AJ53" s="46">
        <v>125006.66980953407</v>
      </c>
      <c r="AK53" s="46">
        <v>228478.51260496123</v>
      </c>
      <c r="AM53" s="49">
        <v>1.2534757354372157E-3</v>
      </c>
      <c r="AO53" s="40">
        <v>1780.0011748590682</v>
      </c>
      <c r="AV53" s="20"/>
      <c r="AZ53" s="20"/>
    </row>
    <row r="54" spans="1:52" ht="13.8" customHeight="1">
      <c r="A54" s="38"/>
      <c r="I54" s="86">
        <f>AM52</f>
        <v>8.6047035246299608E-4</v>
      </c>
      <c r="J54" s="86">
        <f>AM53</f>
        <v>1.2534757354372157E-3</v>
      </c>
      <c r="K54" s="50">
        <f>AM54</f>
        <v>1.0385463678781051E-3</v>
      </c>
      <c r="M54" s="51">
        <f>_xlfn.XLOOKUP($B52,Materials!$B$2:$H$2,Materials!$B$11:$H$11,"## ##")</f>
        <v>480000</v>
      </c>
      <c r="N54" s="51">
        <f>_xlfn.XLOOKUP($B52,Materials!$B$2:$H$2,Materials!$B$12:$H$12,"## ##")</f>
        <v>11600</v>
      </c>
      <c r="O54" s="51">
        <f>_xlfn.XLOOKUP($B52,Materials!$B$2:$H$2,Materials!$B$13:$H$13,"## ##")</f>
        <v>8700</v>
      </c>
      <c r="P54" s="51">
        <f>_xlfn.XLOOKUP($B52,Materials!$B$2:$H$2,Materials!$B$14:$H$14,"## ##")</f>
        <v>2.1899999999999999E-2</v>
      </c>
      <c r="Q54" s="51">
        <f>_xlfn.XLOOKUP($B52,Materials!$B$2:$H$2,Materials!$B$15:$H$15,"## ##")</f>
        <v>0</v>
      </c>
      <c r="S54" s="44">
        <v>0.49128331293629568</v>
      </c>
      <c r="T54" s="44">
        <v>-0.49128331293629568</v>
      </c>
      <c r="U54" s="44">
        <v>0.185910800442984</v>
      </c>
      <c r="V54" s="45"/>
      <c r="W54" s="46">
        <v>0</v>
      </c>
      <c r="X54" s="46">
        <v>0</v>
      </c>
      <c r="Y54" s="46">
        <f>P52</f>
        <v>700000</v>
      </c>
      <c r="Z54" s="47"/>
      <c r="AA54" s="44">
        <f>COS(RADIANS($C52))*SIN(RADIANS($C52))</f>
        <v>-0.49128331293629568</v>
      </c>
      <c r="AB54" s="44">
        <f>-COS(RADIANS($C52))*SIN(RADIANS($C52))</f>
        <v>0.49128331293629568</v>
      </c>
      <c r="AC54" s="44">
        <f>COS(RADIANS($C52))^2-SIN(RADIANS($C52))^2</f>
        <v>0.18591080044298397</v>
      </c>
      <c r="AD54" s="45"/>
      <c r="AE54" s="46">
        <v>7614818.6215158673</v>
      </c>
      <c r="AF54" s="46">
        <v>5313453.7815107238</v>
      </c>
      <c r="AG54" s="46">
        <v>13563060.351295505</v>
      </c>
      <c r="AH54" s="48"/>
      <c r="AI54" s="46">
        <v>163718.60036259118</v>
      </c>
      <c r="AJ54" s="46">
        <v>114239.25630248059</v>
      </c>
      <c r="AK54" s="46">
        <v>291605.79755285342</v>
      </c>
      <c r="AM54" s="49">
        <v>1.0385463678781051E-3</v>
      </c>
      <c r="AO54" s="40">
        <v>726.98245751467357</v>
      </c>
      <c r="AV54" s="20"/>
      <c r="AZ54" s="20"/>
    </row>
    <row r="55" spans="1:52" ht="13.8" customHeight="1">
      <c r="A55" s="38"/>
    </row>
    <row r="56" spans="1:52" ht="13.8" customHeight="1">
      <c r="A56" s="38">
        <v>7</v>
      </c>
      <c r="B56" s="21">
        <f>_xlfn.XLOOKUP(D56,Materials!$B$3:$H$3,Materials!$B$2:$H$2,"## ##")</f>
        <v>5</v>
      </c>
      <c r="C56" s="21">
        <f>F15</f>
        <v>75.906081081185704</v>
      </c>
      <c r="D56" s="72" t="str">
        <f>E15</f>
        <v>IM10/UF3376</v>
      </c>
      <c r="E56" s="39">
        <f>_xlfn.XLOOKUP(B56,Materials!$B$2:$H$2,Materials!B$18:H$18,"## ##")</f>
        <v>4.3E-3</v>
      </c>
      <c r="F56" s="27">
        <f>G15</f>
        <v>0.8</v>
      </c>
      <c r="G56" s="39">
        <f>E56/(1-F56)</f>
        <v>2.1500000000000005E-2</v>
      </c>
      <c r="I56" s="54">
        <f>AO56</f>
        <v>54728.560637916024</v>
      </c>
      <c r="J56" s="54">
        <f>AO57</f>
        <v>831.42446213452706</v>
      </c>
      <c r="K56" s="40">
        <f>AO58</f>
        <v>-349.49295038529328</v>
      </c>
      <c r="M56" s="41">
        <f>_xlfn.XLOOKUP($B56,Materials!$B$2:$H$2,Materials!$B$6:$H$6,"## ##")</f>
        <v>27400000</v>
      </c>
      <c r="N56" s="41">
        <f>_xlfn.XLOOKUP($B56,Materials!B$2:H$2,Materials!B$7:H$7,"## ##")</f>
        <v>1180000</v>
      </c>
      <c r="O56" s="42">
        <f>_xlfn.XLOOKUP($B56,Materials!B$2:H$2,Materials!B$8:H$8,"## ##")</f>
        <v>0.28999999999999998</v>
      </c>
      <c r="P56" s="41">
        <f>_xlfn.XLOOKUP($B56,Materials!B$2:H$2,Materials!B$9:H$9,"## ##")</f>
        <v>700000</v>
      </c>
      <c r="Q56" s="42">
        <f>(N56/M56)*O56</f>
        <v>1.2489051094890511E-2</v>
      </c>
      <c r="S56" s="44" cm="1">
        <f t="array" ref="S56:U58">MINVERSE(AA56:AC58)</f>
        <v>5.9298129772555934E-2</v>
      </c>
      <c r="T56" s="44">
        <v>0.94070187022744411</v>
      </c>
      <c r="U56" s="44">
        <v>0.47236368013653657</v>
      </c>
      <c r="V56" s="45"/>
      <c r="W56" s="46">
        <f>M56/(1-O56*Q56)</f>
        <v>27499598.729149025</v>
      </c>
      <c r="X56" s="46">
        <f>Q56*M56/(1-O56*Q56)</f>
        <v>343443.89361732837</v>
      </c>
      <c r="Y56" s="46">
        <v>0</v>
      </c>
      <c r="Z56" s="47"/>
      <c r="AA56" s="44">
        <f>COS(RADIANS($C56))^2</f>
        <v>5.9298129772555941E-2</v>
      </c>
      <c r="AB56" s="44">
        <f>SIN(RADIANS($C56))^2</f>
        <v>0.940701870227444</v>
      </c>
      <c r="AC56" s="44">
        <f>-2*COS(RADIANS($C56))*SIN(RADIANS($C56))</f>
        <v>-0.47236368013653651</v>
      </c>
      <c r="AD56" s="45"/>
      <c r="AE56" s="46" cm="1">
        <f t="array" ref="AE56:AG58">MMULT(MMULT(_xlfn.ANCHORARRAY(S56),W56:Y58),MMULT(AA$26:AC$28,AA56:AC58))</f>
        <v>1339202.3435364636</v>
      </c>
      <c r="AF56" s="46">
        <v>1748979.4726427998</v>
      </c>
      <c r="AG56" s="46">
        <v>-969899.42939249275</v>
      </c>
      <c r="AH56" s="48"/>
      <c r="AI56" s="46" cm="1">
        <f t="array" ref="AI56:AK58">G56*(_xlfn.ANCHORARRAY(AE56))</f>
        <v>28792.850386033973</v>
      </c>
      <c r="AJ56" s="46">
        <v>37603.058661820207</v>
      </c>
      <c r="AK56" s="46">
        <v>-20852.837731938598</v>
      </c>
      <c r="AM56" s="49" cm="1">
        <f t="array" ref="AM56:AM58">MMULT(AA56:AC58,_xlfn.ANCHORARRAY($F$94))</f>
        <v>1.9885929760546355E-3</v>
      </c>
      <c r="AO56" s="40" cm="1">
        <f t="array" ref="AO56:AO58">MMULT(W56:Y58,_xlfn.ANCHORARRAY($AM56))</f>
        <v>54728.560637916024</v>
      </c>
    </row>
    <row r="57" spans="1:52" ht="13.8" customHeight="1">
      <c r="A57" s="38"/>
      <c r="D57" s="73"/>
      <c r="S57" s="44">
        <v>0.94070187022744411</v>
      </c>
      <c r="T57" s="44">
        <v>5.929812977255592E-2</v>
      </c>
      <c r="U57" s="44">
        <v>-0.47236368013653662</v>
      </c>
      <c r="V57" s="45" t="s">
        <v>29</v>
      </c>
      <c r="W57" s="46">
        <f>O56*N56/(1-O56*Q56)</f>
        <v>343443.89361732837</v>
      </c>
      <c r="X57" s="46">
        <f>N56/(1-O56*Q56)</f>
        <v>1184289.2883356151</v>
      </c>
      <c r="Y57" s="46">
        <v>0</v>
      </c>
      <c r="Z57" s="47" t="s">
        <v>29</v>
      </c>
      <c r="AA57" s="44">
        <f>SIN(RADIANS($C56))^2</f>
        <v>0.940701870227444</v>
      </c>
      <c r="AB57" s="44">
        <f>COS(RADIANS($C56))^2</f>
        <v>5.9298129772555941E-2</v>
      </c>
      <c r="AC57" s="44">
        <f>2*COS(RADIANS($C56))*SIN(RADIANS($C56))</f>
        <v>0.47236368013653651</v>
      </c>
      <c r="AD57" s="45" t="str">
        <f>"="</f>
        <v>=</v>
      </c>
      <c r="AE57" s="46">
        <v>1748979.4726428001</v>
      </c>
      <c r="AF57" s="46">
        <v>24533614.515897233</v>
      </c>
      <c r="AG57" s="46">
        <v>-11460496.982001873</v>
      </c>
      <c r="AH57" s="48" t="str">
        <f>"==&gt;"</f>
        <v>==&gt;</v>
      </c>
      <c r="AI57" s="46">
        <v>37603.058661820214</v>
      </c>
      <c r="AJ57" s="46">
        <v>527472.71209179063</v>
      </c>
      <c r="AK57" s="46">
        <v>-246400.68511304032</v>
      </c>
      <c r="AM57" s="49">
        <v>1.2535311184557637E-4</v>
      </c>
      <c r="AO57" s="40">
        <v>831.42446213452706</v>
      </c>
    </row>
    <row r="58" spans="1:52" ht="13.8" customHeight="1">
      <c r="A58" s="38"/>
      <c r="I58" s="86">
        <f>AM56</f>
        <v>1.9885929760546355E-3</v>
      </c>
      <c r="J58" s="86">
        <f>AM57</f>
        <v>1.2535311184557637E-4</v>
      </c>
      <c r="K58" s="50">
        <f>AM58</f>
        <v>-4.992756434075618E-4</v>
      </c>
      <c r="M58" s="51">
        <f>_xlfn.XLOOKUP($B56,Materials!$B$2:$H$2,Materials!$B$11:$H$11,"## ##")</f>
        <v>480000</v>
      </c>
      <c r="N58" s="51">
        <f>_xlfn.XLOOKUP($B56,Materials!$B$2:$H$2,Materials!$B$12:$H$12,"## ##")</f>
        <v>11600</v>
      </c>
      <c r="O58" s="51">
        <f>_xlfn.XLOOKUP($B56,Materials!$B$2:$H$2,Materials!$B$13:$H$13,"## ##")</f>
        <v>8700</v>
      </c>
      <c r="P58" s="51">
        <f>_xlfn.XLOOKUP($B56,Materials!$B$2:$H$2,Materials!$B$14:$H$14,"## ##")</f>
        <v>2.1899999999999999E-2</v>
      </c>
      <c r="Q58" s="51">
        <f>_xlfn.XLOOKUP($B56,Materials!$B$2:$H$2,Materials!$B$15:$H$15,"## ##")</f>
        <v>0</v>
      </c>
      <c r="S58" s="44">
        <v>-0.23618184006826828</v>
      </c>
      <c r="T58" s="44">
        <v>0.23618184006826828</v>
      </c>
      <c r="U58" s="44">
        <v>-0.88140374045488823</v>
      </c>
      <c r="V58" s="45"/>
      <c r="W58" s="46">
        <v>0</v>
      </c>
      <c r="X58" s="46">
        <v>0</v>
      </c>
      <c r="Y58" s="46">
        <f>P56</f>
        <v>700000</v>
      </c>
      <c r="Z58" s="47"/>
      <c r="AA58" s="44">
        <f>COS(RADIANS($C56))*SIN(RADIANS($C56))</f>
        <v>0.23618184006826826</v>
      </c>
      <c r="AB58" s="44">
        <f>-COS(RADIANS($C56))*SIN(RADIANS($C56))</f>
        <v>-0.23618184006826826</v>
      </c>
      <c r="AC58" s="44">
        <f>COS(RADIANS($C56))^2-SIN(RADIANS($C56))^2</f>
        <v>-0.88140374045488801</v>
      </c>
      <c r="AD58" s="45"/>
      <c r="AE58" s="46">
        <v>-484949.71469624643</v>
      </c>
      <c r="AF58" s="46">
        <v>-5730248.4910009354</v>
      </c>
      <c r="AG58" s="46">
        <v>4211071.1580509432</v>
      </c>
      <c r="AH58" s="48"/>
      <c r="AI58" s="46">
        <v>-10426.418865969301</v>
      </c>
      <c r="AJ58" s="46">
        <v>-123200.34255652015</v>
      </c>
      <c r="AK58" s="46">
        <v>90538.029898095294</v>
      </c>
      <c r="AM58" s="49">
        <v>-4.992756434075618E-4</v>
      </c>
      <c r="AO58" s="40">
        <v>-349.49295038529328</v>
      </c>
    </row>
    <row r="59" spans="1:52" ht="13.8" customHeight="1">
      <c r="A59" s="38"/>
      <c r="B59" s="53"/>
      <c r="C59" s="52"/>
      <c r="D59" s="52"/>
      <c r="E59" s="52"/>
      <c r="F59" s="52"/>
      <c r="G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</row>
    <row r="60" spans="1:52" ht="13.8" customHeight="1">
      <c r="A60" s="38">
        <v>8</v>
      </c>
      <c r="B60" s="21">
        <f>_xlfn.XLOOKUP(D60,Materials!$B$3:$H$3,Materials!$B$2:$H$2,"## ##")</f>
        <v>5</v>
      </c>
      <c r="C60" s="21">
        <f>F16</f>
        <v>-75.906081081185704</v>
      </c>
      <c r="D60" s="72" t="str">
        <f>E16</f>
        <v>IM10/UF3376</v>
      </c>
      <c r="E60" s="39">
        <f>_xlfn.XLOOKUP(B60,Materials!$B$2:$H$2,Materials!B$18:H$18,"## ##")</f>
        <v>4.3E-3</v>
      </c>
      <c r="F60" s="27">
        <f>G16</f>
        <v>0.8</v>
      </c>
      <c r="G60" s="39">
        <f>E60/(1-F60)</f>
        <v>2.1500000000000005E-2</v>
      </c>
      <c r="I60" s="54">
        <f>AO60</f>
        <v>54728.560637916024</v>
      </c>
      <c r="J60" s="54">
        <f>AO61</f>
        <v>831.42446213452706</v>
      </c>
      <c r="K60" s="40">
        <f>AO62</f>
        <v>349.49295038529328</v>
      </c>
      <c r="M60" s="41">
        <f>_xlfn.XLOOKUP($B60,Materials!$B$2:$H$2,Materials!$B$6:$H$6,"## ##")</f>
        <v>27400000</v>
      </c>
      <c r="N60" s="41">
        <f>_xlfn.XLOOKUP($B60,Materials!B$2:H$2,Materials!B$7:H$7,"## ##")</f>
        <v>1180000</v>
      </c>
      <c r="O60" s="42">
        <f>_xlfn.XLOOKUP($B60,Materials!B$2:H$2,Materials!B$8:H$8,"## ##")</f>
        <v>0.28999999999999998</v>
      </c>
      <c r="P60" s="41">
        <f>_xlfn.XLOOKUP($B60,Materials!B$2:H$2,Materials!B$9:H$9,"## ##")</f>
        <v>700000</v>
      </c>
      <c r="Q60" s="42">
        <f>(N60/M60)*O60</f>
        <v>1.2489051094890511E-2</v>
      </c>
      <c r="S60" s="44" cm="1">
        <f t="array" ref="S60:U62">MINVERSE(AA60:AC62)</f>
        <v>5.9298129772555934E-2</v>
      </c>
      <c r="T60" s="44">
        <v>0.94070187022744411</v>
      </c>
      <c r="U60" s="44">
        <v>-0.47236368013653657</v>
      </c>
      <c r="V60" s="45"/>
      <c r="W60" s="46">
        <f>M60/(1-O60*Q60)</f>
        <v>27499598.729149025</v>
      </c>
      <c r="X60" s="46">
        <f>Q60*M60/(1-O60*Q60)</f>
        <v>343443.89361732837</v>
      </c>
      <c r="Y60" s="46">
        <v>0</v>
      </c>
      <c r="Z60" s="47"/>
      <c r="AA60" s="44">
        <f>COS(RADIANS($C60))^2</f>
        <v>5.9298129772555941E-2</v>
      </c>
      <c r="AB60" s="44">
        <f>SIN(RADIANS($C60))^2</f>
        <v>0.940701870227444</v>
      </c>
      <c r="AC60" s="44">
        <f>-2*COS(RADIANS($C60))*SIN(RADIANS($C60))</f>
        <v>0.47236368013653651</v>
      </c>
      <c r="AD60" s="45"/>
      <c r="AE60" s="46" cm="1">
        <f t="array" ref="AE60:AG62">MMULT(MMULT(_xlfn.ANCHORARRAY(S60),W60:Y62),MMULT(AA$26:AC$28,AA60:AC62))</f>
        <v>1339202.3435364636</v>
      </c>
      <c r="AF60" s="46">
        <v>1748979.4726427998</v>
      </c>
      <c r="AG60" s="46">
        <v>969899.42939249275</v>
      </c>
      <c r="AH60" s="48"/>
      <c r="AI60" s="46" cm="1">
        <f t="array" ref="AI60:AK62">G60*(_xlfn.ANCHORARRAY(AE60))</f>
        <v>28792.850386033973</v>
      </c>
      <c r="AJ60" s="46">
        <v>37603.058661820207</v>
      </c>
      <c r="AK60" s="46">
        <v>20852.837731938598</v>
      </c>
      <c r="AM60" s="49" cm="1">
        <f t="array" ref="AM60:AM62">MMULT(AA60:AC62,_xlfn.ANCHORARRAY($F$94))</f>
        <v>1.9885929760546355E-3</v>
      </c>
      <c r="AO60" s="40" cm="1">
        <f t="array" ref="AO60:AO62">MMULT(W60:Y62,_xlfn.ANCHORARRAY($AM60))</f>
        <v>54728.560637916024</v>
      </c>
    </row>
    <row r="61" spans="1:52" ht="13.8" customHeight="1">
      <c r="A61" s="38"/>
      <c r="D61" s="73"/>
      <c r="S61" s="44">
        <v>0.94070187022744411</v>
      </c>
      <c r="T61" s="44">
        <v>5.929812977255592E-2</v>
      </c>
      <c r="U61" s="44">
        <v>0.47236368013653662</v>
      </c>
      <c r="V61" s="45" t="s">
        <v>29</v>
      </c>
      <c r="W61" s="46">
        <f>O60*N60/(1-O60*Q60)</f>
        <v>343443.89361732837</v>
      </c>
      <c r="X61" s="46">
        <f>N60/(1-O60*Q60)</f>
        <v>1184289.2883356151</v>
      </c>
      <c r="Y61" s="46">
        <v>0</v>
      </c>
      <c r="Z61" s="47" t="s">
        <v>29</v>
      </c>
      <c r="AA61" s="44">
        <f>SIN(RADIANS($C60))^2</f>
        <v>0.940701870227444</v>
      </c>
      <c r="AB61" s="44">
        <f>COS(RADIANS($C60))^2</f>
        <v>5.9298129772555941E-2</v>
      </c>
      <c r="AC61" s="44">
        <f>2*COS(RADIANS($C60))*SIN(RADIANS($C60))</f>
        <v>-0.47236368013653651</v>
      </c>
      <c r="AD61" s="45" t="str">
        <f>"="</f>
        <v>=</v>
      </c>
      <c r="AE61" s="46">
        <v>1748979.4726428001</v>
      </c>
      <c r="AF61" s="46">
        <v>24533614.515897233</v>
      </c>
      <c r="AG61" s="46">
        <v>11460496.982001873</v>
      </c>
      <c r="AH61" s="48" t="str">
        <f>"==&gt;"</f>
        <v>==&gt;</v>
      </c>
      <c r="AI61" s="46">
        <v>37603.058661820214</v>
      </c>
      <c r="AJ61" s="46">
        <v>527472.71209179063</v>
      </c>
      <c r="AK61" s="46">
        <v>246400.68511304032</v>
      </c>
      <c r="AM61" s="49">
        <v>1.2535311184557637E-4</v>
      </c>
      <c r="AO61" s="40">
        <v>831.42446213452706</v>
      </c>
    </row>
    <row r="62" spans="1:52" ht="13.8" customHeight="1">
      <c r="A62" s="38"/>
      <c r="I62" s="86">
        <f>AM60</f>
        <v>1.9885929760546355E-3</v>
      </c>
      <c r="J62" s="86">
        <f>AM61</f>
        <v>1.2535311184557637E-4</v>
      </c>
      <c r="K62" s="50">
        <f>AM62</f>
        <v>4.992756434075618E-4</v>
      </c>
      <c r="M62" s="51">
        <f>_xlfn.XLOOKUP($B60,Materials!$B$2:$H$2,Materials!$B$11:$H$11,"## ##")</f>
        <v>480000</v>
      </c>
      <c r="N62" s="51">
        <f>_xlfn.XLOOKUP($B60,Materials!$B$2:$H$2,Materials!$B$12:$H$12,"## ##")</f>
        <v>11600</v>
      </c>
      <c r="O62" s="51">
        <f>_xlfn.XLOOKUP($B60,Materials!$B$2:$H$2,Materials!$B$13:$H$13,"## ##")</f>
        <v>8700</v>
      </c>
      <c r="P62" s="51">
        <f>_xlfn.XLOOKUP($B60,Materials!$B$2:$H$2,Materials!$B$14:$H$14,"## ##")</f>
        <v>2.1899999999999999E-2</v>
      </c>
      <c r="Q62" s="51">
        <f>_xlfn.XLOOKUP($B60,Materials!$B$2:$H$2,Materials!$B$15:$H$15,"## ##")</f>
        <v>0</v>
      </c>
      <c r="S62" s="44">
        <v>0.23618184006826828</v>
      </c>
      <c r="T62" s="44">
        <v>-0.23618184006826828</v>
      </c>
      <c r="U62" s="44">
        <v>-0.88140374045488823</v>
      </c>
      <c r="V62" s="45"/>
      <c r="W62" s="46">
        <v>0</v>
      </c>
      <c r="X62" s="46">
        <v>0</v>
      </c>
      <c r="Y62" s="46">
        <f>P60</f>
        <v>700000</v>
      </c>
      <c r="Z62" s="47"/>
      <c r="AA62" s="44">
        <f>COS(RADIANS($C60))*SIN(RADIANS($C60))</f>
        <v>-0.23618184006826826</v>
      </c>
      <c r="AB62" s="44">
        <f>-COS(RADIANS($C60))*SIN(RADIANS($C60))</f>
        <v>0.23618184006826826</v>
      </c>
      <c r="AC62" s="44">
        <f>COS(RADIANS($C60))^2-SIN(RADIANS($C60))^2</f>
        <v>-0.88140374045488801</v>
      </c>
      <c r="AD62" s="45"/>
      <c r="AE62" s="46">
        <v>484949.71469624643</v>
      </c>
      <c r="AF62" s="46">
        <v>5730248.4910009354</v>
      </c>
      <c r="AG62" s="46">
        <v>4211071.1580509432</v>
      </c>
      <c r="AH62" s="48"/>
      <c r="AI62" s="46">
        <v>10426.418865969301</v>
      </c>
      <c r="AJ62" s="46">
        <v>123200.34255652015</v>
      </c>
      <c r="AK62" s="46">
        <v>90538.029898095294</v>
      </c>
      <c r="AM62" s="49">
        <v>4.992756434075618E-4</v>
      </c>
      <c r="AO62" s="40">
        <v>349.49295038529328</v>
      </c>
    </row>
    <row r="63" spans="1:52" ht="13.8" customHeight="1">
      <c r="A63" s="38"/>
    </row>
    <row r="64" spans="1:52" ht="13.8" customHeight="1">
      <c r="A64" s="38">
        <v>9</v>
      </c>
      <c r="B64" s="21">
        <f>_xlfn.XLOOKUP(D64,Materials!$B$3:$H$3,Materials!$B$2:$H$2,"## ##")</f>
        <v>0</v>
      </c>
      <c r="C64" s="21">
        <f>F17</f>
        <v>43.029243378758402</v>
      </c>
      <c r="D64" s="72" t="str">
        <f>E17</f>
        <v>NULL</v>
      </c>
      <c r="E64" s="39">
        <f>_xlfn.XLOOKUP(B64,Materials!$B$2:$H$2,Materials!B$18:H$18,"## ##")</f>
        <v>0</v>
      </c>
      <c r="F64" s="27">
        <f>G17</f>
        <v>0.66050012535042768</v>
      </c>
      <c r="G64" s="39">
        <f>E64/(1-F64)</f>
        <v>0</v>
      </c>
      <c r="I64" s="54">
        <f>AO64</f>
        <v>1.4540735269359811E-3</v>
      </c>
      <c r="J64" s="54">
        <f>AO65</f>
        <v>1.5658494557786071E-3</v>
      </c>
      <c r="K64" s="40">
        <f>AO66</f>
        <v>-1.0544729540751562E-3</v>
      </c>
      <c r="M64" s="41">
        <f>_xlfn.XLOOKUP($B64,Materials!$B$2:$H$2,Materials!$B$6:$H$6,"## ##")</f>
        <v>1</v>
      </c>
      <c r="N64" s="41">
        <f>_xlfn.XLOOKUP($B64,Materials!B$2:H$2,Materials!B$7:H$7,"## ##")</f>
        <v>1</v>
      </c>
      <c r="O64" s="42">
        <f>_xlfn.XLOOKUP($B64,Materials!B$2:H$2,Materials!B$8:H$8,"## ##")</f>
        <v>0.3</v>
      </c>
      <c r="P64" s="41">
        <f>_xlfn.XLOOKUP($B64,Materials!B$2:H$2,Materials!B$9:H$9,"## ##")</f>
        <v>1</v>
      </c>
      <c r="Q64" s="42">
        <f>(N64/M64)*O64</f>
        <v>0.3</v>
      </c>
      <c r="S64" s="44" cm="1">
        <f t="array" ref="S64:U66">MINVERSE(AA64:AC66)</f>
        <v>0.53436906883738511</v>
      </c>
      <c r="T64" s="44">
        <v>0.46563093116261484</v>
      </c>
      <c r="U64" s="44">
        <v>0.997634736979925</v>
      </c>
      <c r="V64" s="45"/>
      <c r="W64" s="46">
        <f>M64/(1-O64*Q64)</f>
        <v>1.0989010989010988</v>
      </c>
      <c r="X64" s="46">
        <f>Q64*M64/(1-O64*Q64)</f>
        <v>0.32967032967032966</v>
      </c>
      <c r="Y64" s="46">
        <v>0</v>
      </c>
      <c r="Z64" s="47"/>
      <c r="AA64" s="44">
        <f>COS(RADIANS($C64))^2</f>
        <v>0.53436906883738522</v>
      </c>
      <c r="AB64" s="44">
        <f>SIN(RADIANS($C64))^2</f>
        <v>0.46563093116261489</v>
      </c>
      <c r="AC64" s="44">
        <f>-2*COS(RADIANS($C64))*SIN(RADIANS($C64))</f>
        <v>-0.99763473697992511</v>
      </c>
      <c r="AD64" s="45"/>
      <c r="AE64" s="46" cm="1">
        <f t="array" ref="AE64:AG66">MMULT(MMULT(_xlfn.ANCHORARRAY(S64),W64:Y66),MMULT(AA$26:AC$28,AA64:AC66))</f>
        <v>1.7113780640881784</v>
      </c>
      <c r="AF64" s="46">
        <v>-0.28280663551674989</v>
      </c>
      <c r="AG64" s="46">
        <v>8.4400681722657717E-2</v>
      </c>
      <c r="AH64" s="48"/>
      <c r="AI64" s="46" cm="1">
        <f t="array" ref="AI64:AK66">G64*(_xlfn.ANCHORARRAY(AE64))</f>
        <v>0</v>
      </c>
      <c r="AJ64" s="46">
        <v>0</v>
      </c>
      <c r="AK64" s="46">
        <v>0</v>
      </c>
      <c r="AM64" s="49" cm="1">
        <f t="array" ref="AM64:AM66">MMULT(AA64:AC66,_xlfn.ANCHORARRAY($F$94))</f>
        <v>9.8431869020239923E-4</v>
      </c>
      <c r="AO64" s="40" cm="1">
        <f t="array" ref="AO64:AO66">MMULT(W64:Y66,_xlfn.ANCHORARRAY($AM64))</f>
        <v>1.4540735269359811E-3</v>
      </c>
    </row>
    <row r="65" spans="1:52">
      <c r="A65" s="38"/>
      <c r="D65" s="73"/>
      <c r="S65" s="44">
        <v>0.46563093116261478</v>
      </c>
      <c r="T65" s="44">
        <v>0.53436906883738511</v>
      </c>
      <c r="U65" s="44">
        <v>-0.99763473697992511</v>
      </c>
      <c r="V65" s="45" t="s">
        <v>29</v>
      </c>
      <c r="W65" s="46">
        <f>O64*N64/(1-O64*Q64)</f>
        <v>0.32967032967032966</v>
      </c>
      <c r="X65" s="46">
        <f>N64/(1-O64*Q64)</f>
        <v>1.0989010989010988</v>
      </c>
      <c r="Y65" s="46">
        <v>0</v>
      </c>
      <c r="Z65" s="47" t="s">
        <v>29</v>
      </c>
      <c r="AA65" s="44">
        <f>SIN(RADIANS($C64))^2</f>
        <v>0.46563093116261489</v>
      </c>
      <c r="AB65" s="44">
        <f>COS(RADIANS($C64))^2</f>
        <v>0.53436906883738522</v>
      </c>
      <c r="AC65" s="44">
        <f>2*COS(RADIANS($C64))*SIN(RADIANS($C64))</f>
        <v>0.99763473697992511</v>
      </c>
      <c r="AD65" s="45" t="str">
        <f>"="</f>
        <v>=</v>
      </c>
      <c r="AE65" s="46">
        <v>-0.28280663551675</v>
      </c>
      <c r="AF65" s="46">
        <v>1.7113780640881786</v>
      </c>
      <c r="AG65" s="46">
        <v>-8.4400681722657717E-2</v>
      </c>
      <c r="AH65" s="48" t="str">
        <f>"==&gt;"</f>
        <v>==&gt;</v>
      </c>
      <c r="AI65" s="46">
        <v>0</v>
      </c>
      <c r="AJ65" s="46">
        <v>0</v>
      </c>
      <c r="AK65" s="46">
        <v>0</v>
      </c>
      <c r="AM65" s="49">
        <v>1.1296273976978129E-3</v>
      </c>
      <c r="AO65" s="40">
        <v>1.5658494557786071E-3</v>
      </c>
    </row>
    <row r="66" spans="1:52">
      <c r="A66" s="38"/>
      <c r="I66" s="86">
        <f>AM64</f>
        <v>9.8431869020239923E-4</v>
      </c>
      <c r="J66" s="86">
        <f>AM65</f>
        <v>1.1296273976978129E-3</v>
      </c>
      <c r="K66" s="50">
        <f>AM66</f>
        <v>-1.0544729540751562E-3</v>
      </c>
      <c r="M66" s="51">
        <f>_xlfn.XLOOKUP($B64,Materials!$B$2:$H$2,Materials!$B$11:$H$11,"## ##")</f>
        <v>0</v>
      </c>
      <c r="N66" s="51">
        <f>_xlfn.XLOOKUP($B64,Materials!$B$2:$H$2,Materials!$B$12:$H$12,"## ##")</f>
        <v>0</v>
      </c>
      <c r="O66" s="51">
        <f>_xlfn.XLOOKUP($B64,Materials!$B$2:$H$2,Materials!$B$13:$H$13,"## ##")</f>
        <v>0</v>
      </c>
      <c r="P66" s="51">
        <f>_xlfn.XLOOKUP($B64,Materials!$B$2:$H$2,Materials!$B$14:$H$14,"## ##")</f>
        <v>0</v>
      </c>
      <c r="Q66" s="51">
        <f>_xlfn.XLOOKUP($B64,Materials!$B$2:$H$2,Materials!$B$15:$H$15,"## ##")</f>
        <v>0</v>
      </c>
      <c r="S66" s="44">
        <v>-0.49881736848996255</v>
      </c>
      <c r="T66" s="44">
        <v>0.49881736848996255</v>
      </c>
      <c r="U66" s="44">
        <v>6.87381376747703E-2</v>
      </c>
      <c r="V66" s="45"/>
      <c r="W66" s="46">
        <v>0</v>
      </c>
      <c r="X66" s="46">
        <v>0</v>
      </c>
      <c r="Y66" s="46">
        <f>P64</f>
        <v>1</v>
      </c>
      <c r="Z66" s="47"/>
      <c r="AA66" s="44">
        <f>COS(RADIANS($C64))*SIN(RADIANS($C64))</f>
        <v>0.49881736848996255</v>
      </c>
      <c r="AB66" s="44">
        <f>-COS(RADIANS($C64))*SIN(RADIANS($C64))</f>
        <v>-0.49881736848996255</v>
      </c>
      <c r="AC66" s="44">
        <f>COS(RADIANS($C64))^2-SIN(RADIANS($C64))^2</f>
        <v>6.8738137674770328E-2</v>
      </c>
      <c r="AD66" s="45"/>
      <c r="AE66" s="46">
        <v>4.2200340861328831E-2</v>
      </c>
      <c r="AF66" s="46">
        <v>-4.2200340861328831E-2</v>
      </c>
      <c r="AG66" s="46">
        <v>0.77504606962584077</v>
      </c>
      <c r="AH66" s="48"/>
      <c r="AI66" s="46">
        <v>0</v>
      </c>
      <c r="AJ66" s="46">
        <v>0</v>
      </c>
      <c r="AK66" s="46">
        <v>0</v>
      </c>
      <c r="AM66" s="49">
        <v>-1.0544729540751562E-3</v>
      </c>
      <c r="AO66" s="40">
        <v>-1.0544729540751562E-3</v>
      </c>
    </row>
    <row r="67" spans="1:52">
      <c r="A67" s="38"/>
      <c r="B67" s="53"/>
      <c r="C67" s="52"/>
      <c r="D67" s="52"/>
      <c r="E67" s="52"/>
      <c r="F67" s="52"/>
      <c r="G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V67" s="20"/>
      <c r="AZ67" s="20"/>
    </row>
    <row r="68" spans="1:52">
      <c r="A68" s="38">
        <v>10</v>
      </c>
      <c r="B68" s="21">
        <f>_xlfn.XLOOKUP(D68,Materials!$B$3:$H$3,Materials!$B$2:$H$2,"## ##")</f>
        <v>0</v>
      </c>
      <c r="C68" s="21">
        <f>F18</f>
        <v>-43.029243378758402</v>
      </c>
      <c r="D68" s="72" t="str">
        <f>E18</f>
        <v>NULL</v>
      </c>
      <c r="E68" s="39">
        <f>_xlfn.XLOOKUP(B68,Materials!$B$2:$H$2,Materials!B$18:H$18,"## ##")</f>
        <v>0</v>
      </c>
      <c r="F68" s="27">
        <f>G18</f>
        <v>0.66050012535042768</v>
      </c>
      <c r="G68" s="39">
        <f>E68/(1-F68)</f>
        <v>0</v>
      </c>
      <c r="I68" s="54">
        <f>AO68</f>
        <v>1.4540735269359811E-3</v>
      </c>
      <c r="J68" s="54">
        <f>AO69</f>
        <v>1.5658494557786071E-3</v>
      </c>
      <c r="K68" s="40">
        <f>AO70</f>
        <v>1.0544729540751562E-3</v>
      </c>
      <c r="M68" s="41">
        <f>_xlfn.XLOOKUP($B68,Materials!$B$2:$H$2,Materials!$B$6:$H$6,"## ##")</f>
        <v>1</v>
      </c>
      <c r="N68" s="41">
        <f>_xlfn.XLOOKUP($B68,Materials!B$2:H$2,Materials!B$7:H$7,"## ##")</f>
        <v>1</v>
      </c>
      <c r="O68" s="42">
        <f>_xlfn.XLOOKUP($B68,Materials!B$2:H$2,Materials!B$8:H$8,"## ##")</f>
        <v>0.3</v>
      </c>
      <c r="P68" s="41">
        <f>_xlfn.XLOOKUP($B68,Materials!B$2:H$2,Materials!B$9:H$9,"## ##")</f>
        <v>1</v>
      </c>
      <c r="Q68" s="42">
        <f>(N68/M68)*O68</f>
        <v>0.3</v>
      </c>
      <c r="S68" s="44" cm="1">
        <f t="array" ref="S68:U70">MINVERSE(AA68:AC70)</f>
        <v>0.53436906883738511</v>
      </c>
      <c r="T68" s="44">
        <v>0.46563093116261484</v>
      </c>
      <c r="U68" s="44">
        <v>-0.997634736979925</v>
      </c>
      <c r="V68" s="45"/>
      <c r="W68" s="46">
        <f>M68/(1-O68*Q68)</f>
        <v>1.0989010989010988</v>
      </c>
      <c r="X68" s="46">
        <f>Q68*M68/(1-O68*Q68)</f>
        <v>0.32967032967032966</v>
      </c>
      <c r="Y68" s="46">
        <v>0</v>
      </c>
      <c r="Z68" s="47"/>
      <c r="AA68" s="44">
        <f>COS(RADIANS($C68))^2</f>
        <v>0.53436906883738522</v>
      </c>
      <c r="AB68" s="44">
        <f>SIN(RADIANS($C68))^2</f>
        <v>0.46563093116261489</v>
      </c>
      <c r="AC68" s="44">
        <f>-2*COS(RADIANS($C68))*SIN(RADIANS($C68))</f>
        <v>0.99763473697992511</v>
      </c>
      <c r="AD68" s="45"/>
      <c r="AE68" s="46" cm="1">
        <f t="array" ref="AE68:AG70">MMULT(MMULT(_xlfn.ANCHORARRAY(S68),W68:Y70),MMULT(AA$26:AC$28,AA68:AC70))</f>
        <v>1.7113780640881784</v>
      </c>
      <c r="AF68" s="46">
        <v>-0.28280663551674989</v>
      </c>
      <c r="AG68" s="46">
        <v>-8.4400681722657717E-2</v>
      </c>
      <c r="AH68" s="48"/>
      <c r="AI68" s="46" cm="1">
        <f t="array" ref="AI68:AK70">G68*(_xlfn.ANCHORARRAY(AE68))</f>
        <v>0</v>
      </c>
      <c r="AJ68" s="46">
        <v>0</v>
      </c>
      <c r="AK68" s="46">
        <v>0</v>
      </c>
      <c r="AM68" s="49" cm="1">
        <f t="array" ref="AM68:AM70">MMULT(AA68:AC70,_xlfn.ANCHORARRAY($F$94))</f>
        <v>9.8431869020239923E-4</v>
      </c>
      <c r="AO68" s="40" cm="1">
        <f t="array" ref="AO68:AO70">MMULT(W68:Y70,_xlfn.ANCHORARRAY($AM68))</f>
        <v>1.4540735269359811E-3</v>
      </c>
      <c r="AV68" s="20"/>
      <c r="AZ68" s="20"/>
    </row>
    <row r="69" spans="1:52">
      <c r="A69" s="38"/>
      <c r="D69" s="73"/>
      <c r="S69" s="44">
        <v>0.46563093116261478</v>
      </c>
      <c r="T69" s="44">
        <v>0.53436906883738511</v>
      </c>
      <c r="U69" s="44">
        <v>0.99763473697992511</v>
      </c>
      <c r="V69" s="45" t="s">
        <v>29</v>
      </c>
      <c r="W69" s="46">
        <f>O68*N68/(1-O68*Q68)</f>
        <v>0.32967032967032966</v>
      </c>
      <c r="X69" s="46">
        <f>N68/(1-O68*Q68)</f>
        <v>1.0989010989010988</v>
      </c>
      <c r="Y69" s="46">
        <v>0</v>
      </c>
      <c r="Z69" s="47" t="s">
        <v>29</v>
      </c>
      <c r="AA69" s="44">
        <f>SIN(RADIANS($C68))^2</f>
        <v>0.46563093116261489</v>
      </c>
      <c r="AB69" s="44">
        <f>COS(RADIANS($C68))^2</f>
        <v>0.53436906883738522</v>
      </c>
      <c r="AC69" s="44">
        <f>2*COS(RADIANS($C68))*SIN(RADIANS($C68))</f>
        <v>-0.99763473697992511</v>
      </c>
      <c r="AD69" s="45" t="str">
        <f>"="</f>
        <v>=</v>
      </c>
      <c r="AE69" s="46">
        <v>-0.28280663551675</v>
      </c>
      <c r="AF69" s="46">
        <v>1.7113780640881786</v>
      </c>
      <c r="AG69" s="46">
        <v>8.4400681722657717E-2</v>
      </c>
      <c r="AH69" s="48" t="str">
        <f>"==&gt;"</f>
        <v>==&gt;</v>
      </c>
      <c r="AI69" s="46">
        <v>0</v>
      </c>
      <c r="AJ69" s="46">
        <v>0</v>
      </c>
      <c r="AK69" s="46">
        <v>0</v>
      </c>
      <c r="AM69" s="49">
        <v>1.1296273976978129E-3</v>
      </c>
      <c r="AO69" s="40">
        <v>1.5658494557786071E-3</v>
      </c>
      <c r="AV69" s="20"/>
      <c r="AZ69" s="20"/>
    </row>
    <row r="70" spans="1:52">
      <c r="A70" s="38"/>
      <c r="I70" s="86">
        <f>AM68</f>
        <v>9.8431869020239923E-4</v>
      </c>
      <c r="J70" s="86">
        <f>AM69</f>
        <v>1.1296273976978129E-3</v>
      </c>
      <c r="K70" s="50">
        <f>AM70</f>
        <v>1.0544729540751562E-3</v>
      </c>
      <c r="M70" s="51">
        <f>_xlfn.XLOOKUP($B68,Materials!$B$2:$H$2,Materials!$B$11:$H$11,"## ##")</f>
        <v>0</v>
      </c>
      <c r="N70" s="51">
        <f>_xlfn.XLOOKUP($B68,Materials!$B$2:$H$2,Materials!$B$12:$H$12,"## ##")</f>
        <v>0</v>
      </c>
      <c r="O70" s="51">
        <f>_xlfn.XLOOKUP($B68,Materials!$B$2:$H$2,Materials!$B$13:$H$13,"## ##")</f>
        <v>0</v>
      </c>
      <c r="P70" s="51">
        <f>_xlfn.XLOOKUP($B68,Materials!$B$2:$H$2,Materials!$B$14:$H$14,"## ##")</f>
        <v>0</v>
      </c>
      <c r="Q70" s="51">
        <f>_xlfn.XLOOKUP($B68,Materials!$B$2:$H$2,Materials!$B$15:$H$15,"## ##")</f>
        <v>0</v>
      </c>
      <c r="S70" s="44">
        <v>0.49881736848996255</v>
      </c>
      <c r="T70" s="44">
        <v>-0.49881736848996255</v>
      </c>
      <c r="U70" s="44">
        <v>6.87381376747703E-2</v>
      </c>
      <c r="V70" s="45"/>
      <c r="W70" s="46">
        <v>0</v>
      </c>
      <c r="X70" s="46">
        <v>0</v>
      </c>
      <c r="Y70" s="46">
        <f>P68</f>
        <v>1</v>
      </c>
      <c r="Z70" s="47"/>
      <c r="AA70" s="44">
        <f>COS(RADIANS($C68))*SIN(RADIANS($C68))</f>
        <v>-0.49881736848996255</v>
      </c>
      <c r="AB70" s="44">
        <f>-COS(RADIANS($C68))*SIN(RADIANS($C68))</f>
        <v>0.49881736848996255</v>
      </c>
      <c r="AC70" s="44">
        <f>COS(RADIANS($C68))^2-SIN(RADIANS($C68))^2</f>
        <v>6.8738137674770328E-2</v>
      </c>
      <c r="AD70" s="45"/>
      <c r="AE70" s="46">
        <v>-4.2200340861328831E-2</v>
      </c>
      <c r="AF70" s="46">
        <v>4.2200340861328831E-2</v>
      </c>
      <c r="AG70" s="46">
        <v>0.77504606962584077</v>
      </c>
      <c r="AH70" s="48"/>
      <c r="AI70" s="46">
        <v>0</v>
      </c>
      <c r="AJ70" s="46">
        <v>0</v>
      </c>
      <c r="AK70" s="46">
        <v>0</v>
      </c>
      <c r="AM70" s="49">
        <v>1.0544729540751562E-3</v>
      </c>
      <c r="AO70" s="40">
        <v>1.0544729540751562E-3</v>
      </c>
      <c r="AV70" s="20"/>
      <c r="AZ70" s="20"/>
    </row>
    <row r="71" spans="1:52">
      <c r="A71" s="38"/>
      <c r="AV71" s="20"/>
      <c r="AZ71" s="20"/>
    </row>
    <row r="72" spans="1:52">
      <c r="A72" s="38">
        <v>11</v>
      </c>
      <c r="B72" s="21">
        <f>_xlfn.XLOOKUP(D72,Materials!$B$3:$H$3,Materials!$B$2:$H$2,"## ##")</f>
        <v>0</v>
      </c>
      <c r="C72" s="21">
        <f>F19</f>
        <v>0</v>
      </c>
      <c r="D72" s="72" t="str">
        <f>E19</f>
        <v>NULL</v>
      </c>
      <c r="E72" s="39">
        <f>_xlfn.XLOOKUP(B72,Materials!$B$2:$H$2,Materials!B$18:H$18,"## ##")</f>
        <v>0</v>
      </c>
      <c r="F72" s="27">
        <f>G19</f>
        <v>0</v>
      </c>
      <c r="G72" s="39">
        <f>E72/(1-F72)</f>
        <v>0</v>
      </c>
      <c r="I72" s="54">
        <f>AO72</f>
        <v>6.9690535815591394E-4</v>
      </c>
      <c r="J72" s="54">
        <f>AO73</f>
        <v>2.323017624558674E-3</v>
      </c>
      <c r="K72" s="40">
        <f>AO74</f>
        <v>0</v>
      </c>
      <c r="M72" s="41">
        <f>_xlfn.XLOOKUP($B72,Materials!$B$2:$H$2,Materials!$B$6:$H$6,"## ##")</f>
        <v>1</v>
      </c>
      <c r="N72" s="41">
        <f>_xlfn.XLOOKUP($B72,Materials!B$2:H$2,Materials!B$7:H$7,"## ##")</f>
        <v>1</v>
      </c>
      <c r="O72" s="42">
        <f>_xlfn.XLOOKUP($B72,Materials!B$2:H$2,Materials!B$8:H$8,"## ##")</f>
        <v>0.3</v>
      </c>
      <c r="P72" s="41">
        <f>_xlfn.XLOOKUP($B72,Materials!B$2:H$2,Materials!B$9:H$9,"## ##")</f>
        <v>1</v>
      </c>
      <c r="Q72" s="42">
        <f>(N72/M72)*O72</f>
        <v>0.3</v>
      </c>
      <c r="S72" s="44" cm="1">
        <f t="array" ref="S72:U74">MINVERSE(AA72:AC74)</f>
        <v>1</v>
      </c>
      <c r="T72" s="44">
        <v>0</v>
      </c>
      <c r="U72" s="44">
        <v>0</v>
      </c>
      <c r="V72" s="45"/>
      <c r="W72" s="46">
        <f>M72/(1-O72*Q72)</f>
        <v>1.0989010989010988</v>
      </c>
      <c r="X72" s="46">
        <f>Q72*M72/(1-O72*Q72)</f>
        <v>0.32967032967032966</v>
      </c>
      <c r="Y72" s="46">
        <v>0</v>
      </c>
      <c r="Z72" s="47"/>
      <c r="AA72" s="44">
        <f>COS(RADIANS($C72))^2</f>
        <v>1</v>
      </c>
      <c r="AB72" s="44">
        <f>SIN(RADIANS($C72))^2</f>
        <v>0</v>
      </c>
      <c r="AC72" s="44">
        <f>-2*COS(RADIANS($C72))*SIN(RADIANS($C72))</f>
        <v>0</v>
      </c>
      <c r="AD72" s="45"/>
      <c r="AE72" s="46" cm="1">
        <f t="array" ref="AE72:AG74">MMULT(MMULT(_xlfn.ANCHORARRAY(S72),W72:Y74),MMULT(AA$26:AC$28,AA72:AC74))</f>
        <v>1.0989010989010988</v>
      </c>
      <c r="AF72" s="46">
        <v>0.32967032967032966</v>
      </c>
      <c r="AG72" s="46">
        <v>0</v>
      </c>
      <c r="AH72" s="48"/>
      <c r="AI72" s="46" cm="1">
        <f t="array" ref="AI72:AK74">G72*(_xlfn.ANCHORARRAY(AE72))</f>
        <v>0</v>
      </c>
      <c r="AJ72" s="46">
        <v>0</v>
      </c>
      <c r="AK72" s="46">
        <v>0</v>
      </c>
      <c r="AM72" s="49" cm="1">
        <f t="array" ref="AM72:AM74">MMULT(AA72:AC74,_xlfn.ANCHORARRAY($F$94))</f>
        <v>7.0788311627364986E-11</v>
      </c>
      <c r="AO72" s="40" cm="1">
        <f t="array" ref="AO72:AO74">MMULT(W72:Y74,_xlfn.ANCHORARRAY($AM72))</f>
        <v>6.9690535815591394E-4</v>
      </c>
      <c r="AV72" s="20"/>
      <c r="AZ72" s="20"/>
    </row>
    <row r="73" spans="1:52">
      <c r="A73" s="38"/>
      <c r="D73" s="73"/>
      <c r="S73" s="44">
        <v>0</v>
      </c>
      <c r="T73" s="44">
        <v>1</v>
      </c>
      <c r="U73" s="44">
        <v>0</v>
      </c>
      <c r="V73" s="45" t="s">
        <v>29</v>
      </c>
      <c r="W73" s="46">
        <f>O72*N72/(1-O72*Q72)</f>
        <v>0.32967032967032966</v>
      </c>
      <c r="X73" s="46">
        <f>N72/(1-O72*Q72)</f>
        <v>1.0989010989010988</v>
      </c>
      <c r="Y73" s="46">
        <v>0</v>
      </c>
      <c r="Z73" s="47" t="s">
        <v>29</v>
      </c>
      <c r="AA73" s="44">
        <f>SIN(RADIANS($C72))^2</f>
        <v>0</v>
      </c>
      <c r="AB73" s="44">
        <f>COS(RADIANS($C72))^2</f>
        <v>1</v>
      </c>
      <c r="AC73" s="44">
        <f>2*COS(RADIANS($C72))*SIN(RADIANS($C72))</f>
        <v>0</v>
      </c>
      <c r="AD73" s="45" t="str">
        <f>"="</f>
        <v>=</v>
      </c>
      <c r="AE73" s="46">
        <v>0.32967032967032966</v>
      </c>
      <c r="AF73" s="46">
        <v>1.0989010989010988</v>
      </c>
      <c r="AG73" s="46">
        <v>0</v>
      </c>
      <c r="AH73" s="48" t="str">
        <f>"==&gt;"</f>
        <v>==&gt;</v>
      </c>
      <c r="AI73" s="46">
        <v>0</v>
      </c>
      <c r="AJ73" s="46">
        <v>0</v>
      </c>
      <c r="AK73" s="46">
        <v>0</v>
      </c>
      <c r="AM73" s="49">
        <v>2.1139460171119002E-3</v>
      </c>
      <c r="AO73" s="40">
        <v>2.323017624558674E-3</v>
      </c>
      <c r="AV73" s="20"/>
      <c r="AZ73" s="20"/>
    </row>
    <row r="74" spans="1:52">
      <c r="A74" s="38"/>
      <c r="I74" s="86">
        <f>AM72</f>
        <v>7.0788311627364986E-11</v>
      </c>
      <c r="J74" s="86">
        <f>AM73</f>
        <v>2.1139460171119002E-3</v>
      </c>
      <c r="K74" s="50">
        <f>AM74</f>
        <v>0</v>
      </c>
      <c r="M74" s="51">
        <f>_xlfn.XLOOKUP($B72,Materials!$B$2:$H$2,Materials!$B$11:$H$11,"## ##")</f>
        <v>0</v>
      </c>
      <c r="N74" s="51">
        <f>_xlfn.XLOOKUP($B72,Materials!$B$2:$H$2,Materials!$B$12:$H$12,"## ##")</f>
        <v>0</v>
      </c>
      <c r="O74" s="51">
        <f>_xlfn.XLOOKUP($B72,Materials!$B$2:$H$2,Materials!$B$13:$H$13,"## ##")</f>
        <v>0</v>
      </c>
      <c r="P74" s="51">
        <f>_xlfn.XLOOKUP($B72,Materials!$B$2:$H$2,Materials!$B$14:$H$14,"## ##")</f>
        <v>0</v>
      </c>
      <c r="Q74" s="51">
        <f>_xlfn.XLOOKUP($B72,Materials!$B$2:$H$2,Materials!$B$15:$H$15,"## ##")</f>
        <v>0</v>
      </c>
      <c r="S74" s="44">
        <v>0</v>
      </c>
      <c r="T74" s="44">
        <v>0</v>
      </c>
      <c r="U74" s="44">
        <v>1</v>
      </c>
      <c r="V74" s="45"/>
      <c r="W74" s="46">
        <v>0</v>
      </c>
      <c r="X74" s="46">
        <v>0</v>
      </c>
      <c r="Y74" s="46">
        <f>P72</f>
        <v>1</v>
      </c>
      <c r="Z74" s="47"/>
      <c r="AA74" s="44">
        <f>COS(RADIANS($C72))*SIN(RADIANS($C72))</f>
        <v>0</v>
      </c>
      <c r="AB74" s="44">
        <f>-COS(RADIANS($C72))*SIN(RADIANS($C72))</f>
        <v>0</v>
      </c>
      <c r="AC74" s="44">
        <f>COS(RADIANS($C72))^2-SIN(RADIANS($C72))^2</f>
        <v>1</v>
      </c>
      <c r="AD74" s="45"/>
      <c r="AE74" s="46">
        <v>0</v>
      </c>
      <c r="AF74" s="46">
        <v>0</v>
      </c>
      <c r="AG74" s="46">
        <v>2</v>
      </c>
      <c r="AH74" s="48"/>
      <c r="AI74" s="46">
        <v>0</v>
      </c>
      <c r="AJ74" s="46">
        <v>0</v>
      </c>
      <c r="AK74" s="46">
        <v>0</v>
      </c>
      <c r="AM74" s="49">
        <v>0</v>
      </c>
      <c r="AO74" s="40">
        <v>0</v>
      </c>
      <c r="AV74" s="20"/>
      <c r="AZ74" s="20"/>
    </row>
    <row r="75" spans="1:52">
      <c r="A75" s="38"/>
      <c r="B75" s="53"/>
      <c r="C75" s="52"/>
      <c r="D75" s="52"/>
      <c r="E75" s="52"/>
      <c r="F75" s="52"/>
      <c r="G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V75" s="20"/>
      <c r="AZ75" s="20"/>
    </row>
    <row r="76" spans="1:52">
      <c r="A76" s="38">
        <v>12</v>
      </c>
      <c r="B76" s="21">
        <f>_xlfn.XLOOKUP(D76,Materials!$B$3:$H$3,Materials!$B$2:$H$2,"## ##")</f>
        <v>0</v>
      </c>
      <c r="C76" s="21">
        <f>F20</f>
        <v>0</v>
      </c>
      <c r="D76" s="72" t="str">
        <f>E20</f>
        <v>NULL</v>
      </c>
      <c r="E76" s="39">
        <f>_xlfn.XLOOKUP(B76,Materials!$B$2:$H$2,Materials!B$18:H$18,"## ##")</f>
        <v>0</v>
      </c>
      <c r="F76" s="27">
        <f>G20</f>
        <v>0</v>
      </c>
      <c r="G76" s="39">
        <f>E76/(1-F76)</f>
        <v>0</v>
      </c>
      <c r="I76" s="54">
        <f>AO76</f>
        <v>6.9690535815591394E-4</v>
      </c>
      <c r="J76" s="54">
        <f>AO77</f>
        <v>2.323017624558674E-3</v>
      </c>
      <c r="K76" s="40">
        <f>AO78</f>
        <v>0</v>
      </c>
      <c r="M76" s="41">
        <f>_xlfn.XLOOKUP($B76,Materials!$B$2:$H$2,Materials!$B$6:$H$6,"## ##")</f>
        <v>1</v>
      </c>
      <c r="N76" s="41">
        <f>_xlfn.XLOOKUP($B76,Materials!B$2:H$2,Materials!B$7:H$7,"## ##")</f>
        <v>1</v>
      </c>
      <c r="O76" s="42">
        <f>_xlfn.XLOOKUP($B76,Materials!B$2:H$2,Materials!B$8:H$8,"## ##")</f>
        <v>0.3</v>
      </c>
      <c r="P76" s="41">
        <f>_xlfn.XLOOKUP($B76,Materials!B$2:H$2,Materials!B$9:H$9,"## ##")</f>
        <v>1</v>
      </c>
      <c r="Q76" s="42">
        <f>(N76/M76)*O76</f>
        <v>0.3</v>
      </c>
      <c r="S76" s="44" cm="1">
        <f t="array" ref="S76:U78">MINVERSE(AA76:AC78)</f>
        <v>1</v>
      </c>
      <c r="T76" s="44">
        <v>0</v>
      </c>
      <c r="U76" s="44">
        <v>0</v>
      </c>
      <c r="V76" s="45"/>
      <c r="W76" s="46">
        <f>M76/(1-O76*Q76)</f>
        <v>1.0989010989010988</v>
      </c>
      <c r="X76" s="46">
        <f>Q76*M76/(1-O76*Q76)</f>
        <v>0.32967032967032966</v>
      </c>
      <c r="Y76" s="46">
        <v>0</v>
      </c>
      <c r="Z76" s="47"/>
      <c r="AA76" s="44">
        <f>COS(RADIANS($C76))^2</f>
        <v>1</v>
      </c>
      <c r="AB76" s="44">
        <f>SIN(RADIANS($C76))^2</f>
        <v>0</v>
      </c>
      <c r="AC76" s="44">
        <f>-2*COS(RADIANS($C76))*SIN(RADIANS($C76))</f>
        <v>0</v>
      </c>
      <c r="AD76" s="45"/>
      <c r="AE76" s="46" cm="1">
        <f t="array" ref="AE76:AG78">MMULT(MMULT(_xlfn.ANCHORARRAY(S76),W76:Y78),MMULT(AA$26:AC$28,AA76:AC78))</f>
        <v>1.0989010989010988</v>
      </c>
      <c r="AF76" s="46">
        <v>0.32967032967032966</v>
      </c>
      <c r="AG76" s="46">
        <v>0</v>
      </c>
      <c r="AH76" s="48"/>
      <c r="AI76" s="46" cm="1">
        <f t="array" ref="AI76:AK78">G76*(_xlfn.ANCHORARRAY(AE76))</f>
        <v>0</v>
      </c>
      <c r="AJ76" s="46">
        <v>0</v>
      </c>
      <c r="AK76" s="46">
        <v>0</v>
      </c>
      <c r="AM76" s="49" cm="1">
        <f t="array" ref="AM76:AM78">MMULT(AA76:AC78,_xlfn.ANCHORARRAY($F$94))</f>
        <v>7.0788311627364986E-11</v>
      </c>
      <c r="AO76" s="40" cm="1">
        <f t="array" ref="AO76:AO78">MMULT(W76:Y78,_xlfn.ANCHORARRAY($AM76))</f>
        <v>6.9690535815591394E-4</v>
      </c>
      <c r="AV76" s="20"/>
      <c r="AZ76" s="20"/>
    </row>
    <row r="77" spans="1:52">
      <c r="A77" s="38"/>
      <c r="D77" s="73"/>
      <c r="S77" s="44">
        <v>0</v>
      </c>
      <c r="T77" s="44">
        <v>1</v>
      </c>
      <c r="U77" s="44">
        <v>0</v>
      </c>
      <c r="V77" s="45" t="s">
        <v>29</v>
      </c>
      <c r="W77" s="46">
        <f>O76*N76/(1-O76*Q76)</f>
        <v>0.32967032967032966</v>
      </c>
      <c r="X77" s="46">
        <f>N76/(1-O76*Q76)</f>
        <v>1.0989010989010988</v>
      </c>
      <c r="Y77" s="46">
        <v>0</v>
      </c>
      <c r="Z77" s="47" t="s">
        <v>29</v>
      </c>
      <c r="AA77" s="44">
        <f>SIN(RADIANS($C76))^2</f>
        <v>0</v>
      </c>
      <c r="AB77" s="44">
        <f>COS(RADIANS($C76))^2</f>
        <v>1</v>
      </c>
      <c r="AC77" s="44">
        <f>2*COS(RADIANS($C76))*SIN(RADIANS($C76))</f>
        <v>0</v>
      </c>
      <c r="AD77" s="45" t="str">
        <f>"="</f>
        <v>=</v>
      </c>
      <c r="AE77" s="46">
        <v>0.32967032967032966</v>
      </c>
      <c r="AF77" s="46">
        <v>1.0989010989010988</v>
      </c>
      <c r="AG77" s="46">
        <v>0</v>
      </c>
      <c r="AH77" s="48" t="str">
        <f>"==&gt;"</f>
        <v>==&gt;</v>
      </c>
      <c r="AI77" s="46">
        <v>0</v>
      </c>
      <c r="AJ77" s="46">
        <v>0</v>
      </c>
      <c r="AK77" s="46">
        <v>0</v>
      </c>
      <c r="AM77" s="49">
        <v>2.1139460171119002E-3</v>
      </c>
      <c r="AO77" s="40">
        <v>2.323017624558674E-3</v>
      </c>
    </row>
    <row r="78" spans="1:52">
      <c r="A78" s="38"/>
      <c r="I78" s="86">
        <f>AM76</f>
        <v>7.0788311627364986E-11</v>
      </c>
      <c r="J78" s="86">
        <f>AM77</f>
        <v>2.1139460171119002E-3</v>
      </c>
      <c r="K78" s="50">
        <f>AM78</f>
        <v>0</v>
      </c>
      <c r="M78" s="51">
        <f>_xlfn.XLOOKUP($B76,Materials!$B$2:$H$2,Materials!$B$11:$H$11,"## ##")</f>
        <v>0</v>
      </c>
      <c r="N78" s="51">
        <f>_xlfn.XLOOKUP($B76,Materials!$B$2:$H$2,Materials!$B$12:$H$12,"## ##")</f>
        <v>0</v>
      </c>
      <c r="O78" s="51">
        <f>_xlfn.XLOOKUP($B76,Materials!$B$2:$H$2,Materials!$B$13:$H$13,"## ##")</f>
        <v>0</v>
      </c>
      <c r="P78" s="51">
        <f>_xlfn.XLOOKUP($B76,Materials!$B$2:$H$2,Materials!$B$14:$H$14,"## ##")</f>
        <v>0</v>
      </c>
      <c r="Q78" s="51">
        <f>_xlfn.XLOOKUP($B76,Materials!$B$2:$H$2,Materials!$B$15:$H$15,"## ##")</f>
        <v>0</v>
      </c>
      <c r="S78" s="44">
        <v>0</v>
      </c>
      <c r="T78" s="44">
        <v>0</v>
      </c>
      <c r="U78" s="44">
        <v>1</v>
      </c>
      <c r="V78" s="45"/>
      <c r="W78" s="46">
        <v>0</v>
      </c>
      <c r="X78" s="46">
        <v>0</v>
      </c>
      <c r="Y78" s="46">
        <f>P76</f>
        <v>1</v>
      </c>
      <c r="Z78" s="47"/>
      <c r="AA78" s="44">
        <f>COS(RADIANS($C76))*SIN(RADIANS($C76))</f>
        <v>0</v>
      </c>
      <c r="AB78" s="44">
        <f>-COS(RADIANS($C76))*SIN(RADIANS($C76))</f>
        <v>0</v>
      </c>
      <c r="AC78" s="44">
        <f>COS(RADIANS($C76))^2-SIN(RADIANS($C76))^2</f>
        <v>1</v>
      </c>
      <c r="AD78" s="45"/>
      <c r="AE78" s="46">
        <v>0</v>
      </c>
      <c r="AF78" s="46">
        <v>0</v>
      </c>
      <c r="AG78" s="46">
        <v>2</v>
      </c>
      <c r="AH78" s="48"/>
      <c r="AI78" s="46">
        <v>0</v>
      </c>
      <c r="AJ78" s="46">
        <v>0</v>
      </c>
      <c r="AK78" s="46">
        <v>0</v>
      </c>
      <c r="AM78" s="49">
        <v>0</v>
      </c>
      <c r="AO78" s="40">
        <v>0</v>
      </c>
    </row>
    <row r="84" spans="2:52">
      <c r="B84" s="15" t="s">
        <v>41</v>
      </c>
      <c r="C84" s="15"/>
      <c r="D84" s="15"/>
      <c r="E84" s="15"/>
      <c r="F84" s="15"/>
      <c r="G84" s="15"/>
      <c r="I84" s="15" t="s">
        <v>69</v>
      </c>
      <c r="J84" s="15"/>
      <c r="K84" s="15"/>
      <c r="L84" s="15"/>
      <c r="M84" s="16"/>
      <c r="N84" s="16"/>
      <c r="AV84" s="20"/>
      <c r="AZ84" s="20"/>
    </row>
    <row r="85" spans="2:52" ht="14.4">
      <c r="B85" s="19" t="s">
        <v>30</v>
      </c>
      <c r="C85" s="19" t="s">
        <v>1</v>
      </c>
      <c r="D85" s="19" t="s">
        <v>32</v>
      </c>
      <c r="E85" s="19" t="s">
        <v>33</v>
      </c>
      <c r="F85" s="19" t="s">
        <v>34</v>
      </c>
      <c r="G85" s="19" t="s">
        <v>35</v>
      </c>
      <c r="I85" s="19" t="s">
        <v>13</v>
      </c>
      <c r="J85" s="19" t="s">
        <v>70</v>
      </c>
      <c r="K85" s="19" t="s">
        <v>61</v>
      </c>
      <c r="L85" s="19" t="s">
        <v>62</v>
      </c>
      <c r="AV85" s="20"/>
      <c r="AZ85" s="20"/>
    </row>
    <row r="86" spans="2:52">
      <c r="B86" s="39" t="str">
        <f>IF(SUM(C32:C60)=0,"SYMMETRIC","ASYMMETRIC")</f>
        <v>SYMMETRIC</v>
      </c>
      <c r="C86" s="39">
        <f>SUM(G32:G79)</f>
        <v>0.17200000000000004</v>
      </c>
      <c r="D86" s="54">
        <f>1/(C86*E89)</f>
        <v>5701138.6636659652</v>
      </c>
      <c r="E86" s="54">
        <f>1/(C86*F90)</f>
        <v>7198938.1462130975</v>
      </c>
      <c r="F86" s="39">
        <f>-E90/E89</f>
        <v>0.49999998185235972</v>
      </c>
      <c r="G86" s="54">
        <f>1/(C86*G91)</f>
        <v>11232950.814848874</v>
      </c>
      <c r="I86" s="23">
        <v>0</v>
      </c>
      <c r="J86" s="55">
        <f>-C86/2</f>
        <v>-8.6000000000000021E-2</v>
      </c>
      <c r="K86" s="23">
        <v>0</v>
      </c>
      <c r="L86" s="23">
        <v>0</v>
      </c>
      <c r="AV86" s="20"/>
      <c r="AZ86" s="20"/>
    </row>
    <row r="87" spans="2:52">
      <c r="I87" s="23">
        <v>1</v>
      </c>
      <c r="J87" s="55">
        <f>J86</f>
        <v>-8.6000000000000021E-2</v>
      </c>
      <c r="K87" s="17">
        <f>I32</f>
        <v>24800.233697804801</v>
      </c>
      <c r="L87" s="17">
        <f>J32</f>
        <v>1758.1055785011638</v>
      </c>
      <c r="AV87" s="20"/>
      <c r="AZ87" s="20"/>
    </row>
    <row r="88" spans="2:52" ht="14.4">
      <c r="B88" s="19" t="s">
        <v>28</v>
      </c>
      <c r="C88" s="19"/>
      <c r="D88" s="19"/>
      <c r="E88" s="19" t="s">
        <v>31</v>
      </c>
      <c r="F88" s="19"/>
      <c r="G88" s="19"/>
      <c r="I88" s="56">
        <v>1</v>
      </c>
      <c r="J88" s="55">
        <f>G32+J86</f>
        <v>-6.4500000000000016E-2</v>
      </c>
      <c r="K88" s="17">
        <f>I32</f>
        <v>24800.233697804801</v>
      </c>
      <c r="L88" s="17">
        <f>J32</f>
        <v>1758.1055785011638</v>
      </c>
      <c r="AV88" s="20"/>
      <c r="AZ88" s="20"/>
    </row>
    <row r="89" spans="2:52">
      <c r="B89" s="51">
        <f>SUM(AI32,AI36,AI40,AI44,AI48,AI52,AI56,AI60,AI64,AI68,AI72,AI76)</f>
        <v>1432948.893621857</v>
      </c>
      <c r="C89" s="51">
        <f>SUM(AJ32,AJ36,AJ40,AJ44,AJ48,AJ52,AJ56,AJ60,AJ64,AJ68,AJ72,AJ76)</f>
        <v>904706.11977918388</v>
      </c>
      <c r="D89" s="51">
        <f t="shared" ref="D89" si="0">SUM(AK32,AK36,AK40,AK44,AK48,AK52,AK56,AK60,AK64,AK68,AK72,AK76)</f>
        <v>0</v>
      </c>
      <c r="E89" s="51" cm="1">
        <f t="array" ref="E89:G91">MINVERSE(B89:D91)</f>
        <v>1.0197881215247593E-6</v>
      </c>
      <c r="F89" s="51">
        <v>-5.0989404225563155E-7</v>
      </c>
      <c r="G89" s="51">
        <v>0</v>
      </c>
      <c r="I89" s="56">
        <v>2</v>
      </c>
      <c r="J89" s="55">
        <f>J88</f>
        <v>-6.4500000000000016E-2</v>
      </c>
      <c r="K89" s="17">
        <f>I36</f>
        <v>24800.233697804801</v>
      </c>
      <c r="L89" s="17">
        <f>J36</f>
        <v>1758.1055785011638</v>
      </c>
      <c r="AV89" s="20"/>
      <c r="AZ89" s="20"/>
    </row>
    <row r="90" spans="2:52">
      <c r="B90" s="51">
        <f t="shared" ref="B90:B91" si="1">SUM(AI33,AI37,AI41,AI45,AI49,AI53,AI57,AI61,AI65,AI69,AI73,AI77)</f>
        <v>904706.11977918399</v>
      </c>
      <c r="C90" s="51">
        <f t="shared" ref="C90:C91" si="2">SUM(AJ33,AJ37,AJ41,AJ45,AJ49,AJ53,AJ57,AJ61,AJ65,AJ69,AJ73,AJ77)</f>
        <v>1809412.3052314953</v>
      </c>
      <c r="D90" s="51">
        <f t="shared" ref="D90:D91" si="3">SUM(AK33,AK37,AK41,AK45,AK49,AK53,AK57,AK61,AK65,AK69,AK73,AK77)</f>
        <v>0</v>
      </c>
      <c r="E90" s="51">
        <v>-5.0989404225563165E-7</v>
      </c>
      <c r="F90" s="51">
        <v>8.0761264651654794E-7</v>
      </c>
      <c r="G90" s="51">
        <v>0</v>
      </c>
      <c r="I90" s="23">
        <v>2</v>
      </c>
      <c r="J90" s="55">
        <f>J89+G40</f>
        <v>-4.300000000000001E-2</v>
      </c>
      <c r="K90" s="17">
        <f>I36</f>
        <v>24800.233697804801</v>
      </c>
      <c r="L90" s="17">
        <f>J36</f>
        <v>1758.1055785011638</v>
      </c>
      <c r="AV90" s="20"/>
      <c r="AZ90" s="20"/>
    </row>
    <row r="91" spans="2:52">
      <c r="B91" s="51">
        <f t="shared" si="1"/>
        <v>0</v>
      </c>
      <c r="C91" s="51">
        <f t="shared" si="2"/>
        <v>0</v>
      </c>
      <c r="D91" s="51">
        <f t="shared" si="3"/>
        <v>1932067.5401540068</v>
      </c>
      <c r="E91" s="51">
        <v>0</v>
      </c>
      <c r="F91" s="51">
        <v>0</v>
      </c>
      <c r="G91" s="51">
        <v>5.1758024976719454E-7</v>
      </c>
      <c r="I91" s="56">
        <v>3</v>
      </c>
      <c r="J91" s="55">
        <f>J90</f>
        <v>-4.300000000000001E-2</v>
      </c>
      <c r="K91" s="17">
        <f>I44</f>
        <v>23644.941726178113</v>
      </c>
      <c r="L91" s="17">
        <f>J40</f>
        <v>1793.8772825506001</v>
      </c>
      <c r="AV91" s="20"/>
      <c r="AZ91" s="20"/>
    </row>
    <row r="92" spans="2:52">
      <c r="I92" s="56">
        <v>3</v>
      </c>
      <c r="J92" s="55">
        <f>J91+G44</f>
        <v>-2.1500000000000005E-2</v>
      </c>
      <c r="K92" s="17">
        <f>I44</f>
        <v>23644.941726178113</v>
      </c>
      <c r="L92" s="17">
        <f>J40</f>
        <v>1793.8772825506001</v>
      </c>
      <c r="AV92" s="20"/>
      <c r="AZ92" s="20"/>
    </row>
    <row r="93" spans="2:52" ht="14.4">
      <c r="C93" s="19" t="s">
        <v>36</v>
      </c>
      <c r="D93" s="19"/>
      <c r="F93" s="19" t="s">
        <v>37</v>
      </c>
      <c r="G93" s="57"/>
      <c r="I93" s="56">
        <v>4</v>
      </c>
      <c r="J93" s="55">
        <f>J92</f>
        <v>-2.1500000000000005E-2</v>
      </c>
      <c r="K93" s="17">
        <f>I44</f>
        <v>23644.941726178113</v>
      </c>
      <c r="L93" s="17">
        <f>J44</f>
        <v>1793.8772825506001</v>
      </c>
      <c r="AV93" s="20"/>
      <c r="AZ93" s="20"/>
    </row>
    <row r="94" spans="2:52">
      <c r="C94" s="54">
        <f>B24</f>
        <v>1912.5</v>
      </c>
      <c r="F94" s="58" cm="1">
        <f t="array" ref="F94:F96">MMULT(_xlfn.ANCHORARRAY(E89),C94:C96)</f>
        <v>7.0788311627364986E-11</v>
      </c>
      <c r="I94" s="56">
        <v>4</v>
      </c>
      <c r="J94" s="55">
        <f>J93+G48</f>
        <v>0</v>
      </c>
      <c r="K94" s="17">
        <f>I44</f>
        <v>23644.941726178113</v>
      </c>
      <c r="L94" s="17">
        <f>J44</f>
        <v>1793.8772825506001</v>
      </c>
    </row>
    <row r="95" spans="2:52">
      <c r="C95" s="54">
        <f>C24</f>
        <v>3825</v>
      </c>
      <c r="F95" s="58">
        <v>2.1139460171119002E-3</v>
      </c>
      <c r="I95" s="56">
        <v>5</v>
      </c>
      <c r="J95" s="55">
        <f>J94</f>
        <v>0</v>
      </c>
      <c r="K95" s="17">
        <f>I48</f>
        <v>24093.087998195224</v>
      </c>
      <c r="L95" s="17">
        <f>J48</f>
        <v>1780.0011748590682</v>
      </c>
    </row>
    <row r="96" spans="2:52">
      <c r="C96" s="54">
        <v>0</v>
      </c>
      <c r="F96" s="58">
        <v>0</v>
      </c>
      <c r="I96" s="56">
        <v>5</v>
      </c>
      <c r="J96" s="55">
        <f>J95+G52</f>
        <v>2.1500000000000005E-2</v>
      </c>
      <c r="K96" s="17">
        <f>I48</f>
        <v>24093.087998195224</v>
      </c>
      <c r="L96" s="17">
        <f>J48</f>
        <v>1780.0011748590682</v>
      </c>
    </row>
    <row r="97" spans="4:52">
      <c r="I97" s="56">
        <v>6</v>
      </c>
      <c r="J97" s="55">
        <f>J96</f>
        <v>2.1500000000000005E-2</v>
      </c>
      <c r="K97" s="17">
        <f>I52</f>
        <v>24093.087998195224</v>
      </c>
      <c r="L97" s="17">
        <f>J52</f>
        <v>1780.0011748590682</v>
      </c>
    </row>
    <row r="98" spans="4:52">
      <c r="I98" s="56">
        <v>6</v>
      </c>
      <c r="J98" s="55">
        <f>J97+G56</f>
        <v>4.300000000000001E-2</v>
      </c>
      <c r="K98" s="17">
        <f>I52</f>
        <v>24093.087998195224</v>
      </c>
      <c r="L98" s="17">
        <f>J52</f>
        <v>1780.0011748590682</v>
      </c>
    </row>
    <row r="99" spans="4:52">
      <c r="I99" s="56">
        <v>7</v>
      </c>
      <c r="J99" s="55">
        <f>J98</f>
        <v>4.300000000000001E-2</v>
      </c>
      <c r="K99" s="17">
        <f>I56</f>
        <v>54728.560637916024</v>
      </c>
      <c r="L99" s="17">
        <f>J56</f>
        <v>831.42446213452706</v>
      </c>
    </row>
    <row r="100" spans="4:52">
      <c r="I100" s="56">
        <v>7</v>
      </c>
      <c r="J100" s="55">
        <f>J99+G60</f>
        <v>6.4500000000000016E-2</v>
      </c>
      <c r="K100" s="17">
        <f>I56</f>
        <v>54728.560637916024</v>
      </c>
      <c r="L100" s="17">
        <f>J56</f>
        <v>831.42446213452706</v>
      </c>
    </row>
    <row r="101" spans="4:52">
      <c r="I101" s="56">
        <v>8</v>
      </c>
      <c r="J101" s="55">
        <f>J100</f>
        <v>6.4500000000000016E-2</v>
      </c>
      <c r="K101" s="17">
        <f>I60</f>
        <v>54728.560637916024</v>
      </c>
      <c r="L101" s="17">
        <f>J60</f>
        <v>831.42446213452706</v>
      </c>
      <c r="AV101" s="20"/>
      <c r="AZ101" s="20"/>
    </row>
    <row r="102" spans="4:52">
      <c r="I102" s="56">
        <v>8</v>
      </c>
      <c r="J102" s="55">
        <f>J101+G60</f>
        <v>8.6000000000000021E-2</v>
      </c>
      <c r="K102" s="17">
        <f>I60</f>
        <v>54728.560637916024</v>
      </c>
      <c r="L102" s="17">
        <f>J60</f>
        <v>831.42446213452706</v>
      </c>
      <c r="AV102" s="20"/>
      <c r="AZ102" s="20"/>
    </row>
    <row r="103" spans="4:52">
      <c r="I103" s="56">
        <v>9</v>
      </c>
      <c r="J103" s="55">
        <f>J102</f>
        <v>8.6000000000000021E-2</v>
      </c>
      <c r="K103" s="17">
        <f>I64</f>
        <v>1.4540735269359811E-3</v>
      </c>
      <c r="L103" s="17">
        <f>J64</f>
        <v>1.5658494557786071E-3</v>
      </c>
      <c r="AV103" s="20"/>
      <c r="AZ103" s="20"/>
    </row>
    <row r="104" spans="4:52">
      <c r="I104" s="56">
        <v>9</v>
      </c>
      <c r="J104" s="55">
        <f>J103+G64</f>
        <v>8.6000000000000021E-2</v>
      </c>
      <c r="K104" s="17">
        <f>I64</f>
        <v>1.4540735269359811E-3</v>
      </c>
      <c r="L104" s="17">
        <f>J64</f>
        <v>1.5658494557786071E-3</v>
      </c>
      <c r="M104" s="59"/>
      <c r="O104" s="60"/>
      <c r="P104" s="60"/>
      <c r="Q104" s="59"/>
      <c r="R104" s="61"/>
      <c r="S104" s="60"/>
      <c r="T104" s="60"/>
      <c r="U104" s="59"/>
      <c r="V104" s="61"/>
      <c r="W104" s="60"/>
      <c r="X104" s="60"/>
      <c r="Y104" s="59"/>
      <c r="Z104" s="61"/>
      <c r="AA104" s="60"/>
      <c r="AB104" s="60"/>
      <c r="AV104" s="20"/>
      <c r="AZ104" s="20"/>
    </row>
    <row r="105" spans="4:52">
      <c r="I105" s="56">
        <v>10</v>
      </c>
      <c r="J105" s="55">
        <f>J104</f>
        <v>8.6000000000000021E-2</v>
      </c>
      <c r="K105" s="17">
        <f>I68</f>
        <v>1.4540735269359811E-3</v>
      </c>
      <c r="L105" s="17">
        <f>J68</f>
        <v>1.5658494557786071E-3</v>
      </c>
      <c r="AV105" s="20"/>
      <c r="AZ105" s="20"/>
    </row>
    <row r="106" spans="4:52">
      <c r="I106" s="56">
        <v>10</v>
      </c>
      <c r="J106" s="55">
        <f>J105+G68</f>
        <v>8.6000000000000021E-2</v>
      </c>
      <c r="K106" s="17">
        <f>I68</f>
        <v>1.4540735269359811E-3</v>
      </c>
      <c r="L106" s="17">
        <f>J68</f>
        <v>1.5658494557786071E-3</v>
      </c>
      <c r="AV106" s="20"/>
      <c r="AZ106" s="20"/>
    </row>
    <row r="107" spans="4:52">
      <c r="I107" s="56">
        <v>11</v>
      </c>
      <c r="J107" s="55">
        <f>J106</f>
        <v>8.6000000000000021E-2</v>
      </c>
      <c r="K107" s="17">
        <f>I72</f>
        <v>6.9690535815591394E-4</v>
      </c>
      <c r="L107" s="17">
        <f>J72</f>
        <v>2.323017624558674E-3</v>
      </c>
      <c r="AV107" s="20"/>
      <c r="AZ107" s="20"/>
    </row>
    <row r="108" spans="4:52">
      <c r="I108" s="56">
        <v>11</v>
      </c>
      <c r="J108" s="55">
        <f>J107+G72</f>
        <v>8.6000000000000021E-2</v>
      </c>
      <c r="K108" s="17">
        <f>I72</f>
        <v>6.9690535815591394E-4</v>
      </c>
      <c r="L108" s="17">
        <f>J72</f>
        <v>2.323017624558674E-3</v>
      </c>
      <c r="AV108" s="20"/>
      <c r="AZ108" s="20"/>
    </row>
    <row r="109" spans="4:52">
      <c r="I109" s="56">
        <v>12</v>
      </c>
      <c r="J109" s="55">
        <f>J108</f>
        <v>8.6000000000000021E-2</v>
      </c>
      <c r="K109" s="17">
        <f>I76</f>
        <v>6.9690535815591394E-4</v>
      </c>
      <c r="L109" s="17">
        <f>J76</f>
        <v>2.323017624558674E-3</v>
      </c>
      <c r="AV109" s="20"/>
      <c r="AZ109" s="20"/>
    </row>
    <row r="110" spans="4:52">
      <c r="I110" s="56">
        <v>12</v>
      </c>
      <c r="J110" s="55">
        <f>J109+G76</f>
        <v>8.6000000000000021E-2</v>
      </c>
      <c r="K110" s="17">
        <f>I76</f>
        <v>6.9690535815591394E-4</v>
      </c>
      <c r="L110" s="17">
        <f>J76</f>
        <v>2.323017624558674E-3</v>
      </c>
      <c r="AV110" s="20"/>
      <c r="AZ110" s="20"/>
    </row>
    <row r="111" spans="4:52">
      <c r="D111" s="17"/>
      <c r="I111" s="56">
        <v>0</v>
      </c>
      <c r="J111" s="55">
        <f>J110</f>
        <v>8.6000000000000021E-2</v>
      </c>
      <c r="K111" s="13">
        <v>0</v>
      </c>
      <c r="L111" s="13">
        <v>0</v>
      </c>
    </row>
    <row r="113" spans="4:52">
      <c r="G113" s="62"/>
    </row>
    <row r="114" spans="4:52">
      <c r="G114" s="62"/>
    </row>
    <row r="115" spans="4:52">
      <c r="D115" s="18"/>
    </row>
    <row r="116" spans="4:52">
      <c r="G116" s="17"/>
    </row>
    <row r="117" spans="4:52">
      <c r="G117" s="17"/>
    </row>
    <row r="119" spans="4:52">
      <c r="G119" s="17"/>
      <c r="I119" s="56"/>
      <c r="AV119" s="20"/>
      <c r="AZ119" s="20"/>
    </row>
    <row r="120" spans="4:52">
      <c r="G120" s="17"/>
      <c r="AV120" s="20"/>
      <c r="AZ120" s="20"/>
    </row>
    <row r="121" spans="4:52">
      <c r="K121" s="17"/>
      <c r="AV121" s="20"/>
      <c r="AZ121" s="20"/>
    </row>
    <row r="122" spans="4:52">
      <c r="AV122" s="20"/>
      <c r="AZ122" s="20"/>
    </row>
    <row r="123" spans="4:52">
      <c r="I123" s="87"/>
      <c r="J123" s="87"/>
      <c r="K123" s="63"/>
      <c r="AV123" s="20"/>
      <c r="AZ123" s="20"/>
    </row>
    <row r="124" spans="4:52">
      <c r="I124" s="87"/>
      <c r="J124" s="87"/>
      <c r="K124" s="63"/>
      <c r="AV124" s="20"/>
      <c r="AZ124" s="20"/>
    </row>
    <row r="125" spans="4:52">
      <c r="I125" s="87"/>
      <c r="J125" s="87"/>
      <c r="K125" s="63"/>
      <c r="AV125" s="20"/>
      <c r="AZ125" s="20"/>
    </row>
    <row r="126" spans="4:52">
      <c r="AV126" s="20"/>
      <c r="AZ126" s="20"/>
    </row>
    <row r="127" spans="4:52">
      <c r="AV127" s="20"/>
      <c r="AZ127" s="20"/>
    </row>
    <row r="128" spans="4:52">
      <c r="AV128" s="20"/>
      <c r="AZ128" s="20"/>
    </row>
    <row r="136" spans="48:52">
      <c r="AV136" s="20"/>
      <c r="AZ136" s="20"/>
    </row>
    <row r="137" spans="48:52">
      <c r="AV137" s="20"/>
      <c r="AZ137" s="20"/>
    </row>
    <row r="138" spans="48:52">
      <c r="AV138" s="20"/>
      <c r="AZ138" s="20"/>
    </row>
    <row r="139" spans="48:52">
      <c r="AV139" s="20"/>
      <c r="AZ139" s="20"/>
    </row>
    <row r="140" spans="48:52">
      <c r="AV140" s="20"/>
      <c r="AZ140" s="20"/>
    </row>
    <row r="141" spans="48:52">
      <c r="AV141" s="20"/>
      <c r="AZ141" s="20"/>
    </row>
    <row r="142" spans="48:52">
      <c r="AV142" s="20"/>
      <c r="AZ142" s="20"/>
    </row>
    <row r="143" spans="48:52">
      <c r="AV143" s="20"/>
      <c r="AZ143" s="20"/>
    </row>
    <row r="144" spans="48:52">
      <c r="AV144" s="20"/>
      <c r="AZ144" s="20"/>
    </row>
    <row r="145" spans="48:52">
      <c r="AV145" s="20"/>
      <c r="AZ145" s="20"/>
    </row>
    <row r="153" spans="48:52">
      <c r="AV153" s="20"/>
      <c r="AZ153" s="20"/>
    </row>
    <row r="154" spans="48:52">
      <c r="AV154" s="20"/>
      <c r="AZ154" s="20"/>
    </row>
    <row r="155" spans="48:52">
      <c r="AV155" s="20"/>
      <c r="AZ155" s="20"/>
    </row>
    <row r="156" spans="48:52">
      <c r="AV156" s="20"/>
      <c r="AZ156" s="20"/>
    </row>
    <row r="157" spans="48:52">
      <c r="AV157" s="20"/>
      <c r="AZ157" s="20"/>
    </row>
    <row r="158" spans="48:52">
      <c r="AV158" s="20"/>
      <c r="AZ158" s="20"/>
    </row>
    <row r="159" spans="48:52">
      <c r="AV159" s="20"/>
      <c r="AZ159" s="20"/>
    </row>
    <row r="160" spans="48:52">
      <c r="AV160" s="20"/>
      <c r="AZ160" s="20"/>
    </row>
    <row r="161" spans="48:52">
      <c r="AV161" s="20"/>
      <c r="AZ161" s="20"/>
    </row>
    <row r="162" spans="48:52">
      <c r="AV162" s="20"/>
      <c r="AZ162" s="20"/>
    </row>
    <row r="170" spans="48:52">
      <c r="AV170" s="20"/>
      <c r="AZ170" s="20"/>
    </row>
    <row r="171" spans="48:52">
      <c r="AV171" s="20"/>
      <c r="AZ171" s="20"/>
    </row>
    <row r="172" spans="48:52">
      <c r="AV172" s="20"/>
      <c r="AZ172" s="20"/>
    </row>
    <row r="173" spans="48:52">
      <c r="AV173" s="20"/>
      <c r="AZ173" s="20"/>
    </row>
    <row r="174" spans="48:52">
      <c r="AV174" s="20"/>
      <c r="AZ174" s="20"/>
    </row>
    <row r="175" spans="48:52">
      <c r="AV175" s="20"/>
      <c r="AZ175" s="20"/>
    </row>
    <row r="176" spans="48:52">
      <c r="AV176" s="20"/>
      <c r="AZ176" s="20"/>
    </row>
    <row r="177" spans="48:52">
      <c r="AV177" s="20"/>
      <c r="AZ177" s="20"/>
    </row>
    <row r="178" spans="48:52">
      <c r="AV178" s="20"/>
      <c r="AZ178" s="20"/>
    </row>
    <row r="179" spans="48:52">
      <c r="AV179" s="20"/>
      <c r="AZ179" s="20"/>
    </row>
    <row r="187" spans="48:52">
      <c r="AV187" s="20"/>
      <c r="AZ187" s="20"/>
    </row>
    <row r="188" spans="48:52">
      <c r="AV188" s="20"/>
      <c r="AZ188" s="20"/>
    </row>
    <row r="189" spans="48:52">
      <c r="AV189" s="20"/>
      <c r="AZ189" s="20"/>
    </row>
    <row r="190" spans="48:52">
      <c r="AV190" s="20"/>
      <c r="AZ190" s="20"/>
    </row>
    <row r="191" spans="48:52">
      <c r="AV191" s="20"/>
      <c r="AZ191" s="20"/>
    </row>
    <row r="192" spans="48:52">
      <c r="AV192" s="20"/>
      <c r="AZ192" s="20"/>
    </row>
    <row r="193" spans="48:52">
      <c r="AV193" s="20"/>
      <c r="AZ193" s="20"/>
    </row>
    <row r="194" spans="48:52">
      <c r="AV194" s="20"/>
      <c r="AZ194" s="20"/>
    </row>
    <row r="195" spans="48:52">
      <c r="AV195" s="20"/>
      <c r="AZ195" s="20"/>
    </row>
    <row r="196" spans="48:52">
      <c r="AV196" s="20"/>
      <c r="AZ196" s="20"/>
    </row>
    <row r="204" spans="48:52">
      <c r="AV204" s="20"/>
      <c r="AZ204" s="20"/>
    </row>
    <row r="205" spans="48:52">
      <c r="AV205" s="20"/>
      <c r="AZ205" s="20"/>
    </row>
    <row r="206" spans="48:52">
      <c r="AV206" s="20"/>
      <c r="AZ206" s="20"/>
    </row>
    <row r="207" spans="48:52">
      <c r="AV207" s="20"/>
      <c r="AZ207" s="20"/>
    </row>
    <row r="208" spans="48:52">
      <c r="AV208" s="20"/>
      <c r="AZ208" s="20"/>
    </row>
    <row r="209" spans="48:52">
      <c r="AV209" s="20"/>
      <c r="AZ209" s="20"/>
    </row>
    <row r="210" spans="48:52">
      <c r="AV210" s="20"/>
      <c r="AZ210" s="20"/>
    </row>
    <row r="211" spans="48:52">
      <c r="AV211" s="20"/>
      <c r="AZ211" s="20"/>
    </row>
    <row r="212" spans="48:52">
      <c r="AV212" s="20"/>
      <c r="AZ212" s="20"/>
    </row>
    <row r="213" spans="48:52">
      <c r="AV213" s="20"/>
      <c r="AZ213" s="20"/>
    </row>
  </sheetData>
  <mergeCells count="32">
    <mergeCell ref="D76:D77"/>
    <mergeCell ref="H22:J22"/>
    <mergeCell ref="P7:Q7"/>
    <mergeCell ref="O7:O8"/>
    <mergeCell ref="O6:Q6"/>
    <mergeCell ref="I7:J7"/>
    <mergeCell ref="B84:G84"/>
    <mergeCell ref="I84:L84"/>
    <mergeCell ref="O22:Q22"/>
    <mergeCell ref="P23:Q23"/>
    <mergeCell ref="P24:Q24"/>
    <mergeCell ref="D32:D33"/>
    <mergeCell ref="D36:D37"/>
    <mergeCell ref="D40:D41"/>
    <mergeCell ref="D44:D45"/>
    <mergeCell ref="D48:D49"/>
    <mergeCell ref="D52:D53"/>
    <mergeCell ref="D56:D57"/>
    <mergeCell ref="D60:D61"/>
    <mergeCell ref="D64:D65"/>
    <mergeCell ref="D68:D69"/>
    <mergeCell ref="D72:D73"/>
    <mergeCell ref="L7:M7"/>
    <mergeCell ref="B30:G30"/>
    <mergeCell ref="P25:Q25"/>
    <mergeCell ref="B22:C22"/>
    <mergeCell ref="E22:F22"/>
    <mergeCell ref="B1:G1"/>
    <mergeCell ref="D7:G7"/>
    <mergeCell ref="B8:C8"/>
    <mergeCell ref="B3:C3"/>
    <mergeCell ref="E3:G3"/>
  </mergeCells>
  <phoneticPr fontId="21" type="noConversion"/>
  <conditionalFormatting sqref="O9:Q20">
    <cfRule type="colorScale" priority="3">
      <colorScale>
        <cfvo type="num" val="1"/>
        <cfvo type="num" val="2.5"/>
        <cfvo type="num" val="5"/>
        <color rgb="FFF8696B"/>
        <color rgb="FFFFEB84"/>
        <color rgb="FF63BE7B"/>
      </colorScale>
    </cfRule>
  </conditionalFormatting>
  <conditionalFormatting sqref="F5">
    <cfRule type="expression" dxfId="1" priority="2">
      <formula>$B$5="HYDRO"</formula>
    </cfRule>
  </conditionalFormatting>
  <conditionalFormatting sqref="I9:J20 L9:M20 O9:Q20 E9:G20">
    <cfRule type="expression" dxfId="0" priority="1">
      <formula>$E9="NULL"</formula>
    </cfRule>
  </conditionalFormatting>
  <dataValidations count="1">
    <dataValidation type="list" allowBlank="1" showInputMessage="1" showErrorMessage="1" sqref="B5" xr:uid="{7F5F33E7-CCD7-4659-BBEC-7C3D147A579B}">
      <formula1>"FIRING,HYDRO"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5E449B-061F-45F4-9775-6466962C179F}">
          <x14:formula1>
            <xm:f>Materials!$B$3:$H$3</xm:f>
          </x14:formula1>
          <xm:sqref>E9:E20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EF44B-5D81-41D9-B841-41C21A7B8B43}">
  <sheetPr codeName="Sheet3"/>
  <dimension ref="A1:P36"/>
  <sheetViews>
    <sheetView zoomScale="85" zoomScaleNormal="85" workbookViewId="0">
      <selection activeCell="K30" sqref="K30"/>
    </sheetView>
  </sheetViews>
  <sheetFormatPr defaultRowHeight="14.4"/>
  <cols>
    <col min="1" max="1" width="14" customWidth="1"/>
    <col min="2" max="7" width="14.33203125" customWidth="1"/>
    <col min="8" max="8" width="14.77734375" customWidth="1"/>
    <col min="11" max="11" width="11.33203125" bestFit="1" customWidth="1"/>
  </cols>
  <sheetData>
    <row r="1" spans="1:16">
      <c r="B1" s="91" t="s">
        <v>92</v>
      </c>
      <c r="C1" s="91"/>
      <c r="D1" s="91"/>
      <c r="E1" s="91"/>
      <c r="F1" s="91"/>
      <c r="G1" s="91"/>
      <c r="H1" s="91"/>
      <c r="K1" s="9" t="s">
        <v>110</v>
      </c>
      <c r="L1" s="9"/>
      <c r="M1" s="9"/>
      <c r="N1" s="9"/>
      <c r="O1" s="9"/>
      <c r="P1" s="9"/>
    </row>
    <row r="2" spans="1:16">
      <c r="A2" t="s">
        <v>0</v>
      </c>
      <c r="B2" s="1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P2" t="s">
        <v>107</v>
      </c>
    </row>
    <row r="3" spans="1:16">
      <c r="A3" t="s">
        <v>2</v>
      </c>
      <c r="B3" t="s">
        <v>40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38</v>
      </c>
      <c r="K3" t="s">
        <v>93</v>
      </c>
      <c r="L3" t="s">
        <v>100</v>
      </c>
      <c r="M3" t="s">
        <v>102</v>
      </c>
      <c r="N3" t="s">
        <v>103</v>
      </c>
      <c r="O3" t="s">
        <v>108</v>
      </c>
      <c r="P3" t="s">
        <v>105</v>
      </c>
    </row>
    <row r="4" spans="1:16">
      <c r="K4" t="s">
        <v>94</v>
      </c>
      <c r="L4" t="s">
        <v>101</v>
      </c>
      <c r="M4" s="8">
        <v>5250</v>
      </c>
      <c r="N4" t="s">
        <v>104</v>
      </c>
      <c r="O4" t="s">
        <v>109</v>
      </c>
      <c r="P4" t="s">
        <v>106</v>
      </c>
    </row>
    <row r="6" spans="1:16">
      <c r="A6" t="s">
        <v>8</v>
      </c>
      <c r="B6" s="2">
        <v>1</v>
      </c>
      <c r="C6" s="2">
        <f>139270000000/6895</f>
        <v>20198694.70630892</v>
      </c>
      <c r="D6" s="2">
        <v>28400000</v>
      </c>
      <c r="E6" s="2">
        <v>27000000</v>
      </c>
      <c r="F6" s="2">
        <v>23900000</v>
      </c>
      <c r="G6" s="2">
        <v>27400000</v>
      </c>
      <c r="H6" s="2">
        <v>22000000</v>
      </c>
      <c r="J6" t="s">
        <v>8</v>
      </c>
      <c r="K6" s="2">
        <v>18400000</v>
      </c>
      <c r="L6" s="2">
        <v>24300000</v>
      </c>
      <c r="M6" s="2">
        <v>1840000</v>
      </c>
      <c r="N6" s="2">
        <v>22400000</v>
      </c>
      <c r="O6" s="2">
        <v>33900000</v>
      </c>
      <c r="P6" s="2">
        <v>3390000</v>
      </c>
    </row>
    <row r="7" spans="1:16">
      <c r="A7" t="s">
        <v>9</v>
      </c>
      <c r="B7" s="2">
        <v>1</v>
      </c>
      <c r="C7" s="2">
        <f>6550000000/6895</f>
        <v>949963.74184191448</v>
      </c>
      <c r="D7" s="2">
        <v>1520000</v>
      </c>
      <c r="E7" s="2">
        <v>1060000</v>
      </c>
      <c r="F7" s="2">
        <v>1650000</v>
      </c>
      <c r="G7" s="2">
        <v>1180000</v>
      </c>
      <c r="H7" s="2">
        <v>1030000</v>
      </c>
      <c r="J7" t="s">
        <v>9</v>
      </c>
      <c r="K7" s="2">
        <v>1220000</v>
      </c>
      <c r="L7" s="2">
        <v>1260000</v>
      </c>
      <c r="M7" s="2">
        <v>1240000</v>
      </c>
      <c r="N7" s="2">
        <v>1280000</v>
      </c>
      <c r="O7" s="2">
        <v>948000</v>
      </c>
      <c r="P7" s="2">
        <v>3410000</v>
      </c>
    </row>
    <row r="8" spans="1:16">
      <c r="A8" t="s">
        <v>10</v>
      </c>
      <c r="B8" s="2">
        <v>0.3</v>
      </c>
      <c r="C8" s="2">
        <v>0.21</v>
      </c>
      <c r="D8" s="2">
        <v>0.28999999999999998</v>
      </c>
      <c r="E8" s="2">
        <v>0.25</v>
      </c>
      <c r="F8" s="2">
        <v>0.32</v>
      </c>
      <c r="G8" s="2">
        <v>0.28999999999999998</v>
      </c>
      <c r="H8" s="2">
        <v>0.32</v>
      </c>
      <c r="J8" t="s">
        <v>10</v>
      </c>
      <c r="K8" s="2">
        <v>0.309</v>
      </c>
      <c r="L8" s="2"/>
      <c r="M8" s="2">
        <v>0.3</v>
      </c>
      <c r="N8" s="2">
        <v>0.33200000000000002</v>
      </c>
      <c r="O8" s="2">
        <v>0.33</v>
      </c>
      <c r="P8" s="2">
        <v>0.12</v>
      </c>
    </row>
    <row r="9" spans="1:16">
      <c r="A9" t="s">
        <v>11</v>
      </c>
      <c r="B9" s="2">
        <v>1</v>
      </c>
      <c r="C9" s="2">
        <f>4480000000/6895</f>
        <v>649746.19289340102</v>
      </c>
      <c r="D9" s="2">
        <v>700000</v>
      </c>
      <c r="E9" s="2">
        <v>660000</v>
      </c>
      <c r="F9" s="2">
        <v>810000</v>
      </c>
      <c r="G9" s="2">
        <v>700000</v>
      </c>
      <c r="H9" s="2">
        <v>810000</v>
      </c>
      <c r="J9" t="s">
        <v>11</v>
      </c>
      <c r="K9" s="2">
        <v>610000</v>
      </c>
      <c r="L9" s="2">
        <v>690000</v>
      </c>
      <c r="M9" s="2">
        <v>770000</v>
      </c>
      <c r="N9" s="2">
        <v>780000</v>
      </c>
      <c r="O9" s="2">
        <v>945000</v>
      </c>
      <c r="P9" s="2">
        <v>758000</v>
      </c>
    </row>
    <row r="10" spans="1:16">
      <c r="B10" s="2"/>
      <c r="C10" s="2"/>
      <c r="D10" s="2"/>
      <c r="E10" s="2"/>
      <c r="F10" s="2"/>
      <c r="G10" s="2"/>
      <c r="H10" s="2"/>
      <c r="K10" s="2"/>
      <c r="L10" s="2"/>
      <c r="M10" s="2"/>
      <c r="N10" s="2"/>
      <c r="O10" s="2"/>
      <c r="P10" s="2"/>
    </row>
    <row r="11" spans="1:16">
      <c r="A11" t="s">
        <v>95</v>
      </c>
      <c r="B11" s="2">
        <v>0</v>
      </c>
      <c r="C11" s="2">
        <v>305000</v>
      </c>
      <c r="G11" s="2">
        <v>480000</v>
      </c>
      <c r="H11" s="2">
        <v>302800</v>
      </c>
      <c r="J11" t="s">
        <v>95</v>
      </c>
      <c r="K11" s="2">
        <v>319000</v>
      </c>
      <c r="L11" s="2">
        <v>378000</v>
      </c>
      <c r="M11" s="2">
        <v>252000</v>
      </c>
      <c r="N11" s="2">
        <v>364000</v>
      </c>
      <c r="O11" s="2">
        <v>198000</v>
      </c>
      <c r="P11" s="2">
        <v>48300</v>
      </c>
    </row>
    <row r="12" spans="1:16">
      <c r="A12" t="s">
        <v>96</v>
      </c>
      <c r="B12" s="2">
        <v>0</v>
      </c>
      <c r="C12" s="2">
        <v>6500</v>
      </c>
      <c r="G12" s="2">
        <v>11600</v>
      </c>
      <c r="H12" s="2">
        <v>8300</v>
      </c>
      <c r="J12" t="s">
        <v>96</v>
      </c>
      <c r="K12" s="2">
        <v>7090</v>
      </c>
      <c r="L12" s="2">
        <v>12100000</v>
      </c>
      <c r="M12" s="2">
        <v>4610</v>
      </c>
      <c r="N12" s="2">
        <v>9410</v>
      </c>
      <c r="O12" s="2">
        <v>1190</v>
      </c>
      <c r="P12" s="2">
        <v>50500</v>
      </c>
    </row>
    <row r="13" spans="1:16">
      <c r="A13" t="s">
        <v>97</v>
      </c>
      <c r="B13" s="2">
        <v>0</v>
      </c>
      <c r="C13" s="2">
        <v>14000</v>
      </c>
      <c r="G13" s="2">
        <v>8700</v>
      </c>
      <c r="H13" s="2">
        <v>10900</v>
      </c>
      <c r="J13" t="s">
        <v>97</v>
      </c>
      <c r="K13" s="2">
        <v>213000</v>
      </c>
      <c r="L13" s="2">
        <v>244000</v>
      </c>
      <c r="M13" s="2">
        <v>153000</v>
      </c>
      <c r="N13" s="2">
        <v>167000</v>
      </c>
      <c r="O13" s="2">
        <v>93400</v>
      </c>
      <c r="P13" s="2">
        <v>46400</v>
      </c>
    </row>
    <row r="14" spans="1:16">
      <c r="A14" t="s">
        <v>98</v>
      </c>
      <c r="B14" s="2">
        <v>0</v>
      </c>
      <c r="C14">
        <v>1.7000000000000001E-2</v>
      </c>
      <c r="G14">
        <v>2.1899999999999999E-2</v>
      </c>
      <c r="H14">
        <v>1.0800000000000001E-2</v>
      </c>
      <c r="J14" t="s">
        <v>98</v>
      </c>
      <c r="K14" s="2">
        <v>28800</v>
      </c>
      <c r="L14" s="2">
        <v>43300</v>
      </c>
      <c r="M14" s="2"/>
      <c r="N14" s="2"/>
      <c r="O14" s="2">
        <v>19000</v>
      </c>
      <c r="P14" s="2">
        <v>37700</v>
      </c>
    </row>
    <row r="15" spans="1:16">
      <c r="A15" t="s">
        <v>99</v>
      </c>
      <c r="B15" s="2">
        <v>0</v>
      </c>
      <c r="C15" s="3"/>
      <c r="F15" s="2"/>
      <c r="J15" t="s">
        <v>99</v>
      </c>
      <c r="K15" s="2">
        <v>22400</v>
      </c>
      <c r="L15" s="2">
        <v>16800</v>
      </c>
      <c r="M15" s="2">
        <v>9610</v>
      </c>
      <c r="N15" s="2">
        <v>23900</v>
      </c>
      <c r="O15" s="2">
        <v>10300</v>
      </c>
      <c r="P15" s="2">
        <v>11500</v>
      </c>
    </row>
    <row r="16" spans="1:16">
      <c r="F16" s="2"/>
      <c r="M16" s="2"/>
      <c r="O16" s="2"/>
    </row>
    <row r="17" spans="1:16">
      <c r="M17" s="2"/>
    </row>
    <row r="18" spans="1:16">
      <c r="A18" t="s">
        <v>18</v>
      </c>
      <c r="B18" s="2">
        <v>0</v>
      </c>
      <c r="C18" s="2">
        <f>0.00875</f>
        <v>8.7500000000000008E-3</v>
      </c>
      <c r="D18" s="2">
        <v>0.01</v>
      </c>
      <c r="E18" s="2">
        <v>0.01</v>
      </c>
      <c r="F18" s="10">
        <v>8.3999999999999995E-3</v>
      </c>
      <c r="G18" s="2">
        <v>4.3E-3</v>
      </c>
      <c r="H18" s="2">
        <v>3.3E-3</v>
      </c>
      <c r="K18" s="10">
        <v>6.0000000000000001E-3</v>
      </c>
      <c r="L18" s="10">
        <v>5.3E-3</v>
      </c>
      <c r="M18" s="10">
        <v>5.6499999999999996E-3</v>
      </c>
      <c r="N18" s="10">
        <v>5.3E-3</v>
      </c>
      <c r="O18" s="10">
        <v>8.3999999999999995E-3</v>
      </c>
      <c r="P18" s="10">
        <v>8.5000000000000006E-3</v>
      </c>
    </row>
    <row r="19" spans="1:16">
      <c r="C19" s="2"/>
      <c r="H19" s="2"/>
    </row>
    <row r="20" spans="1:16">
      <c r="C20" s="2"/>
      <c r="H20" s="2"/>
    </row>
    <row r="21" spans="1:16">
      <c r="C21" s="2"/>
    </row>
    <row r="22" spans="1:16">
      <c r="C22" s="2"/>
      <c r="K22" s="2"/>
      <c r="L22" s="2"/>
      <c r="M22" s="2"/>
    </row>
    <row r="23" spans="1:16">
      <c r="C23" s="2"/>
      <c r="K23" s="2"/>
      <c r="L23" s="2"/>
      <c r="M23" s="2"/>
    </row>
    <row r="24" spans="1:16">
      <c r="F24" s="2"/>
      <c r="G24" s="2"/>
      <c r="H24" s="2"/>
      <c r="K24" s="2"/>
      <c r="L24" s="2"/>
      <c r="M24" s="2"/>
    </row>
    <row r="25" spans="1:16">
      <c r="F25" s="2"/>
      <c r="G25" s="2"/>
      <c r="H25" s="2"/>
      <c r="K25" s="2"/>
      <c r="L25" s="2"/>
      <c r="M25" s="2"/>
    </row>
    <row r="26" spans="1:16">
      <c r="F26" s="2"/>
      <c r="G26" s="2"/>
      <c r="H26" s="2"/>
      <c r="K26" s="2"/>
      <c r="L26" s="2"/>
      <c r="M26" s="2"/>
    </row>
    <row r="27" spans="1:16">
      <c r="F27" s="2"/>
      <c r="G27" s="2"/>
      <c r="H27" s="2"/>
      <c r="K27" s="2"/>
      <c r="L27" s="2"/>
      <c r="M27" s="2"/>
    </row>
    <row r="28" spans="1:16">
      <c r="F28" s="2"/>
      <c r="G28" s="2"/>
      <c r="H28" s="2"/>
      <c r="K28" s="2"/>
      <c r="L28" s="2"/>
      <c r="M28" s="2"/>
    </row>
    <row r="29" spans="1:16">
      <c r="G29" s="2"/>
      <c r="H29" s="2"/>
    </row>
    <row r="30" spans="1:16">
      <c r="G30" s="2"/>
      <c r="H30" s="2"/>
    </row>
    <row r="31" spans="1:16">
      <c r="G31" s="2"/>
      <c r="H31" s="2"/>
    </row>
    <row r="36" spans="6:8">
      <c r="F36" s="2"/>
      <c r="G36" s="2"/>
      <c r="H36" s="2"/>
    </row>
  </sheetData>
  <mergeCells count="2">
    <mergeCell ref="B1:H1"/>
    <mergeCell ref="K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Case</vt:lpstr>
      <vt:lpstr>Materials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Hayden Brophy</dc:creator>
  <cp:lastModifiedBy>Hayden Brophy</cp:lastModifiedBy>
  <dcterms:created xsi:type="dcterms:W3CDTF">2025-08-26T07:05:45Z</dcterms:created>
  <dcterms:modified xsi:type="dcterms:W3CDTF">2025-09-14T00:25:49Z</dcterms:modified>
</cp:coreProperties>
</file>